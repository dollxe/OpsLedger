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30.1.14\Dongju0326공유폴더\DongJu 공유폴더\1.관리부\5.대기폐수환경\"/>
    </mc:Choice>
  </mc:AlternateContent>
  <xr:revisionPtr revIDLastSave="0" documentId="13_ncr:1_{F59B5876-DA26-467E-BCF9-526ACD26CFE4}" xr6:coauthVersionLast="47" xr6:coauthVersionMax="47" xr10:uidLastSave="{00000000-0000-0000-0000-000000000000}"/>
  <bookViews>
    <workbookView xWindow="14295" yWindow="0" windowWidth="14610" windowHeight="15585" activeTab="1" xr2:uid="{FC9C886D-155F-4C23-A4ED-EAD1655FFCBF}"/>
  </bookViews>
  <sheets>
    <sheet name="동주(보수o)" sheetId="3" r:id="rId1"/>
    <sheet name="동주(보수x)" sheetId="4" r:id="rId2"/>
    <sheet name="신성(보수o)" sheetId="1" r:id="rId3"/>
    <sheet name="신성 (보수x)" sheetId="2" r:id="rId4"/>
    <sheet name="폐수일지(사용x)" sheetId="6" r:id="rId5"/>
    <sheet name="동주" sheetId="9" r:id="rId6"/>
    <sheet name="신성" sheetId="7" r:id="rId7"/>
    <sheet name="Sheet1" sheetId="8" r:id="rId8"/>
    <sheet name="동주,신성" sheetId="5" r:id="rId9"/>
  </sheets>
  <definedNames>
    <definedName name="_xlnm.Print_Area" localSheetId="0">'동주(보수o)'!$B$1:$AB$50</definedName>
    <definedName name="_xlnm.Print_Area" localSheetId="1">'동주(보수x)'!$B$1:$AB$50</definedName>
    <definedName name="_xlnm.Print_Area" localSheetId="3">'신성 (보수x)'!$B$1:$AB$50</definedName>
    <definedName name="_xlnm.Print_Area" localSheetId="2">'신성(보수o)'!$B$1:$AB$50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7" l="1"/>
  <c r="F3" i="7"/>
  <c r="B4" i="7"/>
  <c r="B3" i="7"/>
  <c r="F4" i="9"/>
  <c r="F3" i="9"/>
  <c r="B4" i="9"/>
  <c r="B3" i="9"/>
  <c r="O28" i="5"/>
  <c r="S30" i="5"/>
  <c r="K2" i="9" a="1"/>
  <c r="K2" i="9" s="1"/>
  <c r="K2" i="7" a="1"/>
  <c r="K2" i="7" s="1"/>
  <c r="G31" i="5"/>
  <c r="I11" i="6"/>
  <c r="I12" i="6"/>
  <c r="I13" i="6"/>
  <c r="I14" i="6"/>
  <c r="I15" i="6"/>
  <c r="I16" i="6"/>
  <c r="I17" i="6"/>
  <c r="I18" i="6"/>
  <c r="I19" i="6"/>
  <c r="I20" i="6"/>
  <c r="I21" i="6"/>
  <c r="I22" i="6"/>
  <c r="I10" i="6"/>
  <c r="U3" i="5"/>
  <c r="I3" i="5"/>
  <c r="I4" i="5" s="1"/>
  <c r="J3" i="5" s="1"/>
  <c r="J4" i="5" s="1"/>
  <c r="K3" i="5" s="1"/>
  <c r="K4" i="5" s="1"/>
  <c r="L3" i="5" s="1"/>
  <c r="P3" i="5" s="1"/>
  <c r="P5" i="5" s="1"/>
  <c r="U7" i="5"/>
  <c r="I7" i="5"/>
  <c r="I8" i="5" s="1"/>
  <c r="J7" i="5" s="1"/>
  <c r="J8" i="5" s="1"/>
  <c r="K7" i="5" s="1"/>
  <c r="K8" i="5" s="1"/>
  <c r="L7" i="5" s="1"/>
  <c r="P7" i="5" s="1"/>
  <c r="P9" i="5" s="1"/>
  <c r="U11" i="5"/>
  <c r="I11" i="5"/>
  <c r="I12" i="5" s="1"/>
  <c r="J11" i="5" s="1"/>
  <c r="J12" i="5" s="1"/>
  <c r="K11" i="5" s="1"/>
  <c r="K12" i="5" s="1"/>
  <c r="L11" i="5" s="1"/>
  <c r="P11" i="5" s="1"/>
  <c r="P13" i="5" s="1"/>
  <c r="U15" i="5"/>
  <c r="H16" i="5"/>
  <c r="I15" i="5" s="1"/>
  <c r="I16" i="5" s="1"/>
  <c r="J15" i="5" s="1"/>
  <c r="J16" i="5" s="1"/>
  <c r="K15" i="5" s="1"/>
  <c r="K16" i="5" s="1"/>
  <c r="L15" i="5" s="1"/>
  <c r="P15" i="5" s="1"/>
  <c r="P17" i="5" s="1"/>
  <c r="U19" i="5"/>
  <c r="H20" i="5"/>
  <c r="I19" i="5" s="1"/>
  <c r="I20" i="5" s="1"/>
  <c r="J19" i="5" s="1"/>
  <c r="J20" i="5" s="1"/>
  <c r="K19" i="5" s="1"/>
  <c r="K20" i="5" s="1"/>
  <c r="L19" i="5" s="1"/>
  <c r="P19" i="5" s="1"/>
  <c r="P21" i="5" s="1"/>
  <c r="U23" i="5"/>
  <c r="H24" i="5"/>
  <c r="I23" i="5" s="1"/>
  <c r="I24" i="5" s="1"/>
  <c r="J23" i="5" s="1"/>
  <c r="J24" i="5" s="1"/>
  <c r="K23" i="5" s="1"/>
  <c r="K24" i="5" s="1"/>
  <c r="L23" i="5" s="1"/>
  <c r="P23" i="5" s="1"/>
  <c r="P25" i="5" s="1"/>
  <c r="N30" i="5"/>
  <c r="P28" i="5" s="1"/>
  <c r="D8" i="9" l="1" a="1"/>
  <c r="D8" i="9" s="1"/>
  <c r="A8" i="9" a="1"/>
  <c r="A8" i="9" s="1"/>
  <c r="G8" i="9" a="1"/>
  <c r="G8" i="9" s="1"/>
  <c r="G8" i="7" a="1"/>
  <c r="G8" i="7" s="1"/>
  <c r="A8" i="7" a="1"/>
  <c r="A8" i="7" s="1"/>
  <c r="D8" i="7" a="1"/>
  <c r="D8" i="7" s="1"/>
  <c r="I56" i="7"/>
  <c r="I48" i="7"/>
  <c r="I40" i="7"/>
  <c r="I57" i="7"/>
  <c r="I49" i="7"/>
  <c r="I41" i="7"/>
  <c r="I55" i="7"/>
  <c r="I47" i="7"/>
  <c r="I39" i="7"/>
  <c r="I54" i="7"/>
  <c r="I46" i="7"/>
  <c r="I38" i="7"/>
  <c r="I53" i="7"/>
  <c r="I45" i="7"/>
  <c r="I37" i="7"/>
  <c r="I60" i="7"/>
  <c r="I52" i="7"/>
  <c r="I44" i="7"/>
  <c r="I36" i="7"/>
  <c r="I59" i="7"/>
  <c r="I51" i="7"/>
  <c r="I43" i="7"/>
  <c r="I58" i="7"/>
  <c r="I50" i="7"/>
  <c r="I42" i="7"/>
  <c r="C57" i="7"/>
  <c r="C49" i="7"/>
  <c r="C41" i="7"/>
  <c r="C56" i="7"/>
  <c r="C48" i="7"/>
  <c r="C40" i="7"/>
  <c r="C54" i="7"/>
  <c r="C46" i="7"/>
  <c r="C38" i="7"/>
  <c r="C55" i="7"/>
  <c r="C47" i="7"/>
  <c r="C39" i="7"/>
  <c r="C53" i="7"/>
  <c r="C45" i="7"/>
  <c r="C37" i="7"/>
  <c r="C60" i="7"/>
  <c r="C52" i="7"/>
  <c r="C44" i="7"/>
  <c r="C36" i="7"/>
  <c r="C59" i="7"/>
  <c r="C51" i="7"/>
  <c r="C43" i="7"/>
  <c r="C58" i="7"/>
  <c r="C50" i="7"/>
  <c r="C42" i="7"/>
  <c r="F56" i="7"/>
  <c r="F48" i="7"/>
  <c r="F40" i="7"/>
  <c r="F41" i="7"/>
  <c r="F54" i="7"/>
  <c r="F46" i="7"/>
  <c r="F38" i="7"/>
  <c r="F39" i="7"/>
  <c r="F53" i="7"/>
  <c r="F45" i="7"/>
  <c r="F37" i="7"/>
  <c r="F49" i="7"/>
  <c r="F47" i="7"/>
  <c r="F60" i="7"/>
  <c r="F52" i="7"/>
  <c r="F44" i="7"/>
  <c r="F36" i="7"/>
  <c r="F57" i="7"/>
  <c r="F55" i="7"/>
  <c r="F59" i="7"/>
  <c r="F51" i="7"/>
  <c r="F43" i="7"/>
  <c r="F58" i="7"/>
  <c r="F50" i="7"/>
  <c r="F42" i="7"/>
  <c r="H30" i="5" a="1"/>
  <c r="H30" i="5" s="1"/>
  <c r="H29" i="5" s="1"/>
  <c r="I28" i="5" s="1"/>
  <c r="L30" i="5" a="1"/>
  <c r="L30" i="5" s="1"/>
  <c r="K30" i="5" a="1"/>
  <c r="K30" i="5" s="1"/>
  <c r="J30" i="5" a="1"/>
  <c r="J30" i="5" s="1"/>
  <c r="I30" i="5" a="1"/>
  <c r="I30" i="5" s="1"/>
  <c r="N32" i="5"/>
  <c r="L12" i="5"/>
  <c r="M11" i="5" s="1"/>
  <c r="O11" i="5" s="1"/>
  <c r="Q13" i="5"/>
  <c r="V11" i="5"/>
  <c r="L20" i="5"/>
  <c r="Q21" i="5"/>
  <c r="V19" i="5"/>
  <c r="L16" i="5"/>
  <c r="V15" i="5"/>
  <c r="Q17" i="5"/>
  <c r="Q25" i="5"/>
  <c r="L24" i="5"/>
  <c r="V23" i="5"/>
  <c r="V7" i="5"/>
  <c r="Q9" i="5"/>
  <c r="L8" i="5"/>
  <c r="V3" i="5"/>
  <c r="Q5" i="5"/>
  <c r="L4" i="5"/>
  <c r="F10" i="7" l="1"/>
  <c r="F29" i="7"/>
  <c r="I34" i="7"/>
  <c r="I14" i="7"/>
  <c r="I31" i="7"/>
  <c r="F27" i="7"/>
  <c r="F25" i="7"/>
  <c r="I22" i="7"/>
  <c r="F26" i="7"/>
  <c r="F23" i="7"/>
  <c r="I30" i="7"/>
  <c r="F12" i="7"/>
  <c r="I21" i="7"/>
  <c r="F20" i="7"/>
  <c r="F17" i="7"/>
  <c r="I9" i="7"/>
  <c r="I11" i="7"/>
  <c r="I20" i="7"/>
  <c r="I29" i="7"/>
  <c r="I17" i="7"/>
  <c r="I32" i="7"/>
  <c r="F35" i="7"/>
  <c r="I13" i="7"/>
  <c r="I16" i="7"/>
  <c r="F34" i="7"/>
  <c r="I12" i="7"/>
  <c r="F28" i="7"/>
  <c r="F33" i="7"/>
  <c r="F16" i="7"/>
  <c r="I10" i="7"/>
  <c r="I19" i="7"/>
  <c r="I28" i="7"/>
  <c r="I25" i="7"/>
  <c r="F19" i="7"/>
  <c r="F30" i="7"/>
  <c r="F18" i="7"/>
  <c r="I24" i="7"/>
  <c r="F15" i="7"/>
  <c r="F13" i="7"/>
  <c r="F14" i="7"/>
  <c r="F24" i="7"/>
  <c r="I18" i="7"/>
  <c r="I27" i="7"/>
  <c r="I15" i="7"/>
  <c r="I33" i="7"/>
  <c r="F9" i="7"/>
  <c r="F11" i="7"/>
  <c r="F31" i="7"/>
  <c r="F21" i="7"/>
  <c r="F22" i="7"/>
  <c r="F32" i="7"/>
  <c r="I26" i="7"/>
  <c r="I35" i="7"/>
  <c r="I23" i="7"/>
  <c r="C11" i="7"/>
  <c r="C29" i="7"/>
  <c r="C16" i="7"/>
  <c r="C33" i="7"/>
  <c r="C22" i="7"/>
  <c r="C26" i="7"/>
  <c r="C35" i="7"/>
  <c r="C30" i="7"/>
  <c r="C9" i="7"/>
  <c r="C34" i="7"/>
  <c r="C15" i="7"/>
  <c r="C31" i="7"/>
  <c r="C13" i="7"/>
  <c r="C17" i="7"/>
  <c r="C20" i="7"/>
  <c r="C10" i="7"/>
  <c r="C19" i="7"/>
  <c r="C28" i="7"/>
  <c r="C14" i="7"/>
  <c r="C24" i="7"/>
  <c r="C18" i="7"/>
  <c r="C27" i="7"/>
  <c r="C32" i="7"/>
  <c r="C12" i="7"/>
  <c r="C21" i="7"/>
  <c r="C23" i="7"/>
  <c r="C25" i="7"/>
  <c r="F55" i="9"/>
  <c r="F47" i="9"/>
  <c r="F39" i="9"/>
  <c r="F31" i="9"/>
  <c r="F23" i="9"/>
  <c r="F15" i="9"/>
  <c r="F56" i="9"/>
  <c r="F48" i="9"/>
  <c r="F40" i="9"/>
  <c r="F24" i="9"/>
  <c r="F60" i="9"/>
  <c r="F52" i="9"/>
  <c r="F44" i="9"/>
  <c r="F36" i="9"/>
  <c r="F28" i="9"/>
  <c r="F20" i="9"/>
  <c r="F12" i="9"/>
  <c r="F53" i="9"/>
  <c r="F29" i="9"/>
  <c r="F13" i="9"/>
  <c r="F57" i="9"/>
  <c r="F49" i="9"/>
  <c r="F41" i="9"/>
  <c r="F33" i="9"/>
  <c r="F25" i="9"/>
  <c r="F17" i="9"/>
  <c r="F9" i="9"/>
  <c r="F32" i="9"/>
  <c r="F16" i="9"/>
  <c r="F54" i="9"/>
  <c r="F46" i="9"/>
  <c r="F38" i="9"/>
  <c r="F30" i="9"/>
  <c r="F22" i="9"/>
  <c r="F14" i="9"/>
  <c r="F59" i="9"/>
  <c r="F51" i="9"/>
  <c r="F43" i="9"/>
  <c r="F35" i="9"/>
  <c r="F27" i="9"/>
  <c r="F19" i="9"/>
  <c r="F11" i="9"/>
  <c r="F58" i="9"/>
  <c r="F50" i="9"/>
  <c r="F42" i="9"/>
  <c r="F34" i="9"/>
  <c r="F26" i="9"/>
  <c r="F18" i="9"/>
  <c r="F10" i="9"/>
  <c r="F45" i="9"/>
  <c r="F37" i="9"/>
  <c r="F21" i="9"/>
  <c r="C58" i="9"/>
  <c r="C50" i="9"/>
  <c r="C42" i="9"/>
  <c r="C34" i="9"/>
  <c r="C26" i="9"/>
  <c r="C18" i="9"/>
  <c r="C10" i="9"/>
  <c r="C59" i="9"/>
  <c r="C51" i="9"/>
  <c r="C43" i="9"/>
  <c r="C35" i="9"/>
  <c r="C19" i="9"/>
  <c r="C55" i="9"/>
  <c r="C47" i="9"/>
  <c r="C39" i="9"/>
  <c r="C31" i="9"/>
  <c r="C23" i="9"/>
  <c r="C15" i="9"/>
  <c r="C24" i="9"/>
  <c r="C60" i="9"/>
  <c r="C52" i="9"/>
  <c r="C44" i="9"/>
  <c r="C36" i="9"/>
  <c r="C28" i="9"/>
  <c r="C20" i="9"/>
  <c r="C12" i="9"/>
  <c r="C27" i="9"/>
  <c r="C11" i="9"/>
  <c r="C57" i="9"/>
  <c r="C49" i="9"/>
  <c r="C41" i="9"/>
  <c r="C33" i="9"/>
  <c r="C25" i="9"/>
  <c r="C17" i="9"/>
  <c r="C9" i="9"/>
  <c r="C54" i="9"/>
  <c r="C46" i="9"/>
  <c r="C38" i="9"/>
  <c r="C30" i="9"/>
  <c r="C22" i="9"/>
  <c r="C14" i="9"/>
  <c r="C53" i="9"/>
  <c r="C45" i="9"/>
  <c r="C37" i="9"/>
  <c r="C29" i="9"/>
  <c r="C21" i="9"/>
  <c r="C13" i="9"/>
  <c r="C56" i="9"/>
  <c r="C48" i="9"/>
  <c r="C40" i="9"/>
  <c r="C32" i="9"/>
  <c r="C16" i="9"/>
  <c r="I60" i="9"/>
  <c r="I52" i="9"/>
  <c r="I44" i="9"/>
  <c r="I36" i="9"/>
  <c r="I28" i="9"/>
  <c r="I20" i="9"/>
  <c r="I12" i="9"/>
  <c r="I45" i="9"/>
  <c r="I37" i="9"/>
  <c r="I29" i="9"/>
  <c r="I13" i="9"/>
  <c r="I57" i="9"/>
  <c r="I49" i="9"/>
  <c r="I41" i="9"/>
  <c r="I33" i="9"/>
  <c r="I25" i="9"/>
  <c r="I17" i="9"/>
  <c r="I9" i="9"/>
  <c r="I34" i="9"/>
  <c r="I18" i="9"/>
  <c r="I54" i="9"/>
  <c r="I46" i="9"/>
  <c r="I38" i="9"/>
  <c r="I30" i="9"/>
  <c r="I22" i="9"/>
  <c r="I14" i="9"/>
  <c r="I53" i="9"/>
  <c r="I21" i="9"/>
  <c r="I59" i="9"/>
  <c r="I51" i="9"/>
  <c r="I43" i="9"/>
  <c r="I35" i="9"/>
  <c r="I27" i="9"/>
  <c r="I19" i="9"/>
  <c r="I11" i="9"/>
  <c r="I56" i="9"/>
  <c r="I48" i="9"/>
  <c r="I40" i="9"/>
  <c r="I32" i="9"/>
  <c r="I24" i="9"/>
  <c r="I16" i="9"/>
  <c r="I55" i="9"/>
  <c r="I47" i="9"/>
  <c r="I39" i="9"/>
  <c r="I31" i="9"/>
  <c r="I23" i="9"/>
  <c r="I15" i="9"/>
  <c r="I58" i="9"/>
  <c r="I50" i="9"/>
  <c r="I42" i="9"/>
  <c r="I26" i="9"/>
  <c r="I10" i="9"/>
  <c r="I29" i="5"/>
  <c r="J28" i="5" s="1"/>
  <c r="J29" i="5" s="1"/>
  <c r="K28" i="5" s="1"/>
  <c r="K29" i="5" s="1"/>
  <c r="L28" i="5" s="1"/>
  <c r="L29" i="5" s="1"/>
  <c r="L9" i="5"/>
  <c r="M7" i="5"/>
  <c r="O7" i="5" s="1"/>
  <c r="L17" i="5"/>
  <c r="M15" i="5"/>
  <c r="O15" i="5" s="1"/>
  <c r="L21" i="5"/>
  <c r="M19" i="5"/>
  <c r="O19" i="5" s="1"/>
  <c r="M23" i="5"/>
  <c r="O23" i="5" s="1"/>
  <c r="L25" i="5"/>
  <c r="M3" i="5"/>
  <c r="O3" i="5" s="1"/>
  <c r="L5" i="5"/>
  <c r="J35" i="8" l="1"/>
  <c r="J47" i="8"/>
  <c r="J14" i="8"/>
  <c r="J32" i="8"/>
  <c r="J5" i="8"/>
  <c r="J49" i="8"/>
  <c r="J39" i="8"/>
  <c r="J50" i="8"/>
  <c r="J44" i="8"/>
  <c r="J25" i="8"/>
  <c r="J17" i="8"/>
  <c r="J18" i="8"/>
  <c r="J26" i="8"/>
  <c r="J3" i="8"/>
  <c r="J51" i="8"/>
  <c r="J30" i="8"/>
  <c r="J11" i="8"/>
  <c r="J41" i="8"/>
  <c r="J42" i="8"/>
  <c r="J29" i="8"/>
  <c r="J9" i="8"/>
  <c r="J45" i="8"/>
  <c r="J53" i="8"/>
  <c r="J54" i="8"/>
  <c r="J52" i="8"/>
  <c r="J16" i="8"/>
  <c r="J31" i="8"/>
  <c r="J8" i="8"/>
  <c r="J13" i="8"/>
  <c r="J46" i="8"/>
  <c r="J27" i="8"/>
  <c r="J22" i="8"/>
  <c r="J38" i="8"/>
  <c r="H2" i="8"/>
  <c r="J37" i="8"/>
  <c r="J43" i="8"/>
  <c r="J28" i="8"/>
  <c r="J20" i="8"/>
  <c r="J40" i="8"/>
  <c r="J21" i="8"/>
  <c r="J33" i="8"/>
  <c r="J4" i="8"/>
  <c r="J48" i="8"/>
  <c r="J36" i="8"/>
  <c r="J23" i="8"/>
  <c r="J15" i="8"/>
  <c r="J7" i="8"/>
  <c r="J34" i="8"/>
  <c r="J10" i="8"/>
  <c r="J12" i="8"/>
  <c r="J19" i="8"/>
  <c r="J6" i="8"/>
  <c r="H2" i="8" a="1"/>
  <c r="J24" i="8"/>
  <c r="D6" i="8"/>
  <c r="D27" i="8"/>
  <c r="D31" i="8"/>
  <c r="D53" i="8"/>
  <c r="D50" i="8"/>
  <c r="D36" i="8"/>
  <c r="D48" i="8"/>
  <c r="D20" i="8"/>
  <c r="D14" i="8"/>
  <c r="D23" i="8"/>
  <c r="D51" i="8"/>
  <c r="D34" i="8"/>
  <c r="D13" i="8"/>
  <c r="D21" i="8"/>
  <c r="D24" i="8"/>
  <c r="D25" i="8"/>
  <c r="D18" i="8"/>
  <c r="D4" i="8"/>
  <c r="D35" i="8"/>
  <c r="D19" i="8"/>
  <c r="D10" i="8"/>
  <c r="D9" i="8"/>
  <c r="D12" i="8"/>
  <c r="D54" i="8"/>
  <c r="D33" i="8"/>
  <c r="D11" i="8"/>
  <c r="D30" i="8"/>
  <c r="D26" i="8"/>
  <c r="D3" i="8"/>
  <c r="D49" i="8"/>
  <c r="D40" i="8"/>
  <c r="D7" i="8"/>
  <c r="D15" i="8"/>
  <c r="D47" i="8"/>
  <c r="D43" i="8"/>
  <c r="D39" i="8"/>
  <c r="D32" i="8"/>
  <c r="D44" i="8"/>
  <c r="D17" i="8"/>
  <c r="D37" i="8"/>
  <c r="D45" i="8"/>
  <c r="D16" i="8"/>
  <c r="D38" i="8"/>
  <c r="D52" i="8"/>
  <c r="D46" i="8"/>
  <c r="D8" i="8"/>
  <c r="D29" i="8"/>
  <c r="D42" i="8"/>
  <c r="D22" i="8"/>
  <c r="B2" i="8"/>
  <c r="D28" i="8"/>
  <c r="D5" i="8"/>
  <c r="D41" i="8"/>
  <c r="G14" i="8"/>
  <c r="G13" i="8"/>
  <c r="G31" i="8"/>
  <c r="G52" i="8"/>
  <c r="G43" i="8"/>
  <c r="G10" i="8"/>
  <c r="G30" i="8"/>
  <c r="G44" i="8"/>
  <c r="G48" i="8"/>
  <c r="G21" i="8"/>
  <c r="G17" i="8"/>
  <c r="G54" i="8"/>
  <c r="G49" i="8"/>
  <c r="G5" i="8"/>
  <c r="G46" i="8"/>
  <c r="G6" i="8"/>
  <c r="G45" i="8"/>
  <c r="G18" i="8"/>
  <c r="G11" i="8"/>
  <c r="E2" i="8"/>
  <c r="G38" i="8"/>
  <c r="G25" i="8"/>
  <c r="G35" i="8"/>
  <c r="G23" i="8"/>
  <c r="G51" i="8"/>
  <c r="G41" i="8"/>
  <c r="G27" i="8"/>
  <c r="G3" i="8"/>
  <c r="G40" i="8"/>
  <c r="G9" i="8"/>
  <c r="G50" i="8"/>
  <c r="G33" i="8"/>
  <c r="G34" i="8"/>
  <c r="G26" i="8"/>
  <c r="G4" i="8"/>
  <c r="G53" i="8"/>
  <c r="G47" i="8"/>
  <c r="G42" i="8"/>
  <c r="G16" i="8"/>
  <c r="G15" i="8"/>
  <c r="G36" i="8"/>
  <c r="G32" i="8"/>
  <c r="G22" i="8"/>
  <c r="G39" i="8"/>
  <c r="G24" i="8"/>
  <c r="G28" i="8"/>
  <c r="G8" i="8"/>
  <c r="G20" i="8"/>
  <c r="G7" i="8"/>
  <c r="G29" i="8"/>
  <c r="G37" i="8"/>
  <c r="G12" i="8"/>
  <c r="B2" i="8" a="1"/>
  <c r="E2" i="8" a="1"/>
  <c r="G19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<sst xmlns="http://schemas.openxmlformats.org/spreadsheetml/2006/main" count="524" uniqueCount="164">
  <si>
    <t>[별지 제7호서식] &lt;개정 2010.12.31&gt;</t>
  </si>
  <si>
    <t>(앞 쪽)</t>
  </si>
  <si>
    <t>대기배출시설 및 방지시설 운영기록부</t>
  </si>
  <si>
    <t>담당</t>
  </si>
  <si>
    <t>과장</t>
  </si>
  <si>
    <t>부서장</t>
  </si>
  <si>
    <t>공장장</t>
  </si>
  <si>
    <t>결</t>
  </si>
  <si>
    <t>재</t>
  </si>
  <si>
    <t>2024 년      월     일     요일     날씨 :        온도:</t>
  </si>
  <si>
    <t>1. 배출구별 주요 배출시설 및 방지시설 가동(조업)시간</t>
  </si>
  <si>
    <t>배출구</t>
  </si>
  <si>
    <t>배출시설</t>
  </si>
  <si>
    <t>가동시간</t>
  </si>
  <si>
    <t>비고</t>
  </si>
  <si>
    <t>도장시설[액체]</t>
  </si>
  <si>
    <t>정상</t>
  </si>
  <si>
    <t>전처리[연마]</t>
  </si>
  <si>
    <t>전처리[쇼트]</t>
  </si>
  <si>
    <t>* 비고란은 정상 여부를 기재합니다.</t>
  </si>
  <si>
    <t>2. 방지시설 운영사항</t>
  </si>
  <si>
    <t>  가. 방지시설 운전사항</t>
  </si>
  <si>
    <t>방지</t>
  </si>
  <si>
    <t>시설명</t>
  </si>
  <si>
    <t>설치</t>
  </si>
  <si>
    <t>위치</t>
  </si>
  <si>
    <t>전력사용량</t>
  </si>
  <si>
    <t>(㎾/h)</t>
  </si>
  <si>
    <t>처리용량</t>
  </si>
  <si>
    <t>(㎥/min)</t>
  </si>
  <si>
    <t>처리오염</t>
  </si>
  <si>
    <t>물질</t>
  </si>
  <si>
    <t>처리농도</t>
  </si>
  <si>
    <t>(ppm 또는 ㎎/S㎥)</t>
  </si>
  <si>
    <t>처리효율</t>
  </si>
  <si>
    <t>(%)</t>
  </si>
  <si>
    <t>사용약품</t>
  </si>
  <si>
    <t>약품명</t>
  </si>
  <si>
    <t>사용량</t>
  </si>
  <si>
    <t>사업장내</t>
  </si>
  <si>
    <t>나. 방지시설 보수사항</t>
  </si>
  <si>
    <t>방지시설명</t>
  </si>
  <si>
    <t>배출구별</t>
  </si>
  <si>
    <t>보수기간</t>
  </si>
  <si>
    <t>보수자</t>
  </si>
  <si>
    <t>보수명세</t>
  </si>
  <si>
    <t>집진기</t>
  </si>
  <si>
    <t>08:00~08:15</t>
  </si>
  <si>
    <t xml:space="preserve">3. 자가측정사항 </t>
  </si>
  <si>
    <t>측정일:</t>
  </si>
  <si>
    <t>①기상</t>
  </si>
  <si>
    <t>②기온</t>
  </si>
  <si>
    <t>③습도</t>
  </si>
  <si>
    <t>④기압</t>
  </si>
  <si>
    <t>⑤풍향</t>
  </si>
  <si>
    <t>⑥풍속</t>
  </si>
  <si>
    <t> □ 맑음,   □ 흐림,   □ 구름,</t>
  </si>
  <si>
    <t> □ 눈,     □ 비</t>
  </si>
  <si>
    <t>℃</t>
  </si>
  <si>
    <t>%</t>
  </si>
  <si>
    <t>mb</t>
  </si>
  <si>
    <t>풍</t>
  </si>
  <si>
    <t>m/sec</t>
  </si>
  <si>
    <t>⑦배출구</t>
  </si>
  <si>
    <t>번호</t>
  </si>
  <si>
    <t>⑧주요배출</t>
  </si>
  <si>
    <t>⑨측정</t>
  </si>
  <si>
    <t>항목</t>
  </si>
  <si>
    <t>⑩측정농도</t>
  </si>
  <si>
    <t>(ppm, ㎎/S㎥)</t>
  </si>
  <si>
    <t>⑪일일유량</t>
  </si>
  <si>
    <t>(S㎥/일)</t>
  </si>
  <si>
    <t>⑫일일배출량</t>
  </si>
  <si>
    <t>(㎏/일)</t>
  </si>
  <si>
    <t>⑬검사</t>
  </si>
  <si>
    <t>기기명</t>
  </si>
  <si>
    <t>⑭검사</t>
  </si>
  <si>
    <t>방법</t>
  </si>
  <si>
    <t>⑮연료명및사용량</t>
  </si>
  <si>
    <t>  (                 일)</t>
  </si>
  <si>
    <t>⑯원료명 및 사용량</t>
  </si>
  <si>
    <t>  (특정대기유해물질 배출원 포함)</t>
  </si>
  <si>
    <t>⑰환경기술인의 의견</t>
  </si>
  <si>
    <t>⑱기타</t>
  </si>
  <si>
    <t>    환경기술인 직급 :   사원                                     성명 :   강 동규   (인)</t>
  </si>
  <si>
    <t xml:space="preserve">※ 작성요령 </t>
  </si>
  <si>
    <t>   1. 「대기환경보전법」 제39조에 따라 「환경분야 시험·검사 등에 관한 법률」에 따른 측정대행업자에게 해당 오염물질 전부를</t>
  </si>
  <si>
    <t>     위탁하여 측정하도록 하는 경우에는 제3호란을 작성하지 아니할 수 있습니다.</t>
  </si>
  <si>
    <t xml:space="preserve">   2. 방지시설의 설치를 면제받은 사업장은 제2호와 제3호란을 작성하지 아니할 수 있습니다. </t>
  </si>
  <si>
    <t>   3. 제2호나목의 방지시설 보수사항은 별도의 계약서나 지출증빙서로 갈음할 수 있습니다.</t>
  </si>
  <si>
    <t>도장시설[액체]
(흡착에 의한 시설)</t>
    <phoneticPr fontId="8" type="noConversion"/>
  </si>
  <si>
    <t>전처리[연마]
(여과 집진 시설)</t>
    <phoneticPr fontId="8" type="noConversion"/>
  </si>
  <si>
    <t>전처리[쇼트]
(여과집진시설)</t>
    <phoneticPr fontId="8" type="noConversion"/>
  </si>
  <si>
    <t>김봉희</t>
    <phoneticPr fontId="8" type="noConversion"/>
  </si>
  <si>
    <t>아구스</t>
    <phoneticPr fontId="8" type="noConversion"/>
  </si>
  <si>
    <t>도장시설[분체]</t>
    <phoneticPr fontId="8" type="noConversion"/>
  </si>
  <si>
    <t>도장시설[액체]</t>
    <phoneticPr fontId="8" type="noConversion"/>
  </si>
  <si>
    <t>전처리[인산염피막]</t>
    <phoneticPr fontId="8" type="noConversion"/>
  </si>
  <si>
    <t>08~20</t>
    <phoneticPr fontId="8" type="noConversion"/>
  </si>
  <si>
    <t>    환경기술인 직급 :   과장                                     성명 :   구 성우   (인)</t>
    <phoneticPr fontId="8" type="noConversion"/>
  </si>
  <si>
    <t>각인영비</t>
  </si>
  <si>
    <t>폐수배출</t>
    <phoneticPr fontId="8" type="noConversion"/>
  </si>
  <si>
    <t>평균</t>
    <phoneticPr fontId="8" type="noConversion"/>
  </si>
  <si>
    <t>일수</t>
    <phoneticPr fontId="8" type="noConversion"/>
  </si>
  <si>
    <t>사용량</t>
    <phoneticPr fontId="8" type="noConversion"/>
  </si>
  <si>
    <t>금</t>
    <phoneticPr fontId="8" type="noConversion"/>
  </si>
  <si>
    <t>목</t>
    <phoneticPr fontId="8" type="noConversion"/>
  </si>
  <si>
    <t>수</t>
    <phoneticPr fontId="8" type="noConversion"/>
  </si>
  <si>
    <t>화</t>
    <phoneticPr fontId="8" type="noConversion"/>
  </si>
  <si>
    <t>월</t>
    <phoneticPr fontId="8" type="noConversion"/>
  </si>
  <si>
    <t>동주</t>
    <phoneticPr fontId="8" type="noConversion"/>
  </si>
  <si>
    <t>두자리</t>
    <phoneticPr fontId="8" type="noConversion"/>
  </si>
  <si>
    <t>전처리
(쇼트)</t>
    <phoneticPr fontId="8" type="noConversion"/>
  </si>
  <si>
    <t>X40</t>
    <phoneticPr fontId="8" type="noConversion"/>
  </si>
  <si>
    <t>3.61+</t>
    <phoneticPr fontId="8" type="noConversion"/>
  </si>
  <si>
    <t>전처리
(연마)</t>
    <phoneticPr fontId="8" type="noConversion"/>
  </si>
  <si>
    <t>x80</t>
    <phoneticPr fontId="8" type="noConversion"/>
  </si>
  <si>
    <t>액체
(박스로)</t>
    <phoneticPr fontId="8" type="noConversion"/>
  </si>
  <si>
    <t>신성</t>
    <phoneticPr fontId="8" type="noConversion"/>
  </si>
  <si>
    <t>3.1+</t>
    <phoneticPr fontId="8" type="noConversion"/>
  </si>
  <si>
    <t>전처리
(피막)</t>
    <phoneticPr fontId="8" type="noConversion"/>
  </si>
  <si>
    <t>액체
(컨베어)</t>
    <phoneticPr fontId="8" type="noConversion"/>
  </si>
  <si>
    <t>X60</t>
    <phoneticPr fontId="8" type="noConversion"/>
  </si>
  <si>
    <t>7.5-</t>
    <phoneticPr fontId="8" type="noConversion"/>
  </si>
  <si>
    <t>분체
(컨베어)</t>
    <phoneticPr fontId="8" type="noConversion"/>
  </si>
  <si>
    <t>합계</t>
    <phoneticPr fontId="8" type="noConversion"/>
  </si>
  <si>
    <t>최종값</t>
    <phoneticPr fontId="8" type="noConversion"/>
  </si>
  <si>
    <t>r</t>
    <phoneticPr fontId="8" type="noConversion"/>
  </si>
  <si>
    <t>210mm×297mm[백상지(80g/㎡) 또는 중질지(80g/㎡)]</t>
  </si>
  <si>
    <t>08~20</t>
  </si>
  <si>
    <t>구성우</t>
  </si>
  <si>
    <t>일련번호</t>
  </si>
  <si>
    <t>환경기술인</t>
  </si>
  <si>
    <t>대표자</t>
  </si>
  <si>
    <t>(L)</t>
  </si>
  <si>
    <t>업소명</t>
  </si>
  <si>
    <t>확인서</t>
  </si>
  <si>
    <t>폐수량</t>
  </si>
  <si>
    <t>처리</t>
  </si>
  <si>
    <t>위탁ㆍ수탁</t>
  </si>
  <si>
    <t>위탁량</t>
  </si>
  <si>
    <t>발생량</t>
  </si>
  <si>
    <t>기타
중요사항</t>
    <phoneticPr fontId="8" type="noConversion"/>
  </si>
  <si>
    <t>보관</t>
  </si>
  <si>
    <t>폐수위탁처리</t>
  </si>
  <si>
    <t>폐수</t>
  </si>
  <si>
    <t>용수</t>
  </si>
  <si>
    <t>원료사용량</t>
  </si>
  <si>
    <t>가동시간
(  ~  )</t>
    <phoneticPr fontId="8" type="noConversion"/>
  </si>
  <si>
    <t>결재</t>
  </si>
  <si>
    <t>연월일</t>
  </si>
  <si>
    <t>(「물환경보전법 시행령」 제33조제2호 및 제3호에 따라 폐수를 처리하는 사업자가 적습니다)</t>
  </si>
  <si>
    <t>폐수배출시설 운영일지</t>
  </si>
  <si>
    <r>
      <t>■ 물환경보전법 시행규칙 [별지 제20호서식]</t>
    </r>
    <r>
      <rPr>
        <sz val="8"/>
        <color rgb="FF0000FF"/>
        <rFont val="돋움체"/>
        <family val="3"/>
        <charset val="129"/>
      </rPr>
      <t> </t>
    </r>
    <r>
      <rPr>
        <sz val="9"/>
        <color rgb="FF0000FF"/>
        <rFont val="돋움체"/>
        <family val="3"/>
        <charset val="129"/>
      </rPr>
      <t>&lt;개정 2018. 1. 17.&gt;</t>
    </r>
  </si>
  <si>
    <t>시작일</t>
    <phoneticPr fontId="8" type="noConversion"/>
  </si>
  <si>
    <t>종료일</t>
    <phoneticPr fontId="8" type="noConversion"/>
  </si>
  <si>
    <t>시작값</t>
    <phoneticPr fontId="8" type="noConversion"/>
  </si>
  <si>
    <t>첫번째 토요일</t>
    <phoneticPr fontId="8" type="noConversion"/>
  </si>
  <si>
    <t>주말 입력칸</t>
    <phoneticPr fontId="8" type="noConversion"/>
  </si>
  <si>
    <t xml:space="preserve">직전 작성 날짜 이후 월요일 첫번째 날짜 기입 하고 
측정일 전주 금요일을 종료일로 기입 하고 
직전값과 금번 측정값 기입 </t>
    <phoneticPr fontId="8" type="noConversion"/>
  </si>
  <si>
    <r>
      <t xml:space="preserve">공휴일은 계산날짜 하단에 
직접 기입 할 것
</t>
    </r>
    <r>
      <rPr>
        <sz val="14"/>
        <color rgb="FFFF0000"/>
        <rFont val="맑은 고딕"/>
        <family val="3"/>
        <charset val="129"/>
        <scheme val="minor"/>
      </rPr>
      <t>(첫번째 토요일 기입하면 토,일 자동 계산)
(다음번 계산시 직접 기입한 날짜는 제거 하고 계산 할 것)</t>
    </r>
    <phoneticPr fontId="8" type="noConversion"/>
  </si>
  <si>
    <t>측정값 난수 범위가 너무 클 경우 함수 값의 base 값 상승 시킬 것 반대로 너무 균일 하면 작게 만들 것</t>
    <phoneticPr fontId="8" type="noConversion"/>
  </si>
  <si>
    <t>전처리
[인산염피막]
(세정집진시설)</t>
    <phoneticPr fontId="8" type="noConversion"/>
  </si>
  <si>
    <t>도장시설[분체]
(여과 짐진 시설,
흡착에 의한 시설)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</si>
</sst>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&quot;월&quot;\ dd&quot;일&quot;"/>
    <numFmt numFmtId="177" formatCode="[$-F800]dddd\,\ mmmm\ dd\,\ yyyy"/>
    <numFmt numFmtId="178" formatCode="0.0"/>
    <numFmt numFmtId="179" formatCode="0.0_ "/>
  </numFmts>
  <fonts count="17">
    <font>
      <sz val="11"/>
      <color theme="1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color rgb="FF000000"/>
      <name val="돋움체"/>
      <family val="3"/>
      <charset val="129"/>
    </font>
    <font>
      <sz val="12"/>
      <color rgb="FF000000"/>
      <name val="돋움체"/>
      <family val="3"/>
      <charset val="129"/>
    </font>
    <font>
      <sz val="16"/>
      <color rgb="FF000000"/>
      <name val="한양견고딕"/>
      <family val="3"/>
      <charset val="129"/>
    </font>
    <font>
      <sz val="8"/>
      <color rgb="FF0000FF"/>
      <name val="돋움체"/>
      <family val="3"/>
      <charset val="129"/>
    </font>
    <font>
      <sz val="9"/>
      <color rgb="FF0000FF"/>
      <name val="돋움체"/>
      <family val="3"/>
      <charset val="129"/>
    </font>
    <font>
      <sz val="22"/>
      <color rgb="FFFF0000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7F7F7F"/>
      </top>
      <bottom/>
      <diagonal/>
    </border>
    <border>
      <left style="thin">
        <color rgb="FF7F7F7F"/>
      </left>
      <right style="medium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medium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medium">
        <color rgb="FF7F7F7F"/>
      </right>
      <top style="medium">
        <color rgb="FF7F7F7F"/>
      </top>
      <bottom/>
      <diagonal/>
    </border>
    <border>
      <left style="thin">
        <color rgb="FF7F7F7F"/>
      </left>
      <right style="thin">
        <color rgb="FF7F7F7F"/>
      </right>
      <top style="medium">
        <color rgb="FF7F7F7F"/>
      </top>
      <bottom/>
      <diagonal/>
    </border>
    <border>
      <left/>
      <right style="thin">
        <color rgb="FF7F7F7F"/>
      </right>
      <top style="medium">
        <color rgb="FF7F7F7F"/>
      </top>
      <bottom style="thin">
        <color rgb="FF7F7F7F"/>
      </bottom>
      <diagonal/>
    </border>
    <border>
      <left/>
      <right/>
      <top style="medium">
        <color rgb="FF7F7F7F"/>
      </top>
      <bottom style="thin">
        <color rgb="FF7F7F7F"/>
      </bottom>
      <diagonal/>
    </border>
    <border>
      <left style="thin">
        <color rgb="FF7F7F7F"/>
      </left>
      <right/>
      <top style="medium">
        <color rgb="FF7F7F7F"/>
      </top>
      <bottom style="thin">
        <color rgb="FF7F7F7F"/>
      </bottom>
      <diagonal/>
    </border>
    <border>
      <left/>
      <right style="thin">
        <color rgb="FF7F7F7F"/>
      </right>
      <top style="medium">
        <color rgb="FF7F7F7F"/>
      </top>
      <bottom/>
      <diagonal/>
    </border>
    <border>
      <left style="thin">
        <color rgb="FF7F7F7F"/>
      </left>
      <right/>
      <top style="medium">
        <color rgb="FF7F7F7F"/>
      </top>
      <bottom/>
      <diagonal/>
    </border>
    <border>
      <left style="medium">
        <color rgb="FF7F7F7F"/>
      </left>
      <right style="thin">
        <color rgb="FF7F7F7F"/>
      </right>
      <top style="medium">
        <color rgb="FF7F7F7F"/>
      </top>
      <bottom/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>
      <alignment vertical="center"/>
    </xf>
  </cellStyleXfs>
  <cellXfs count="17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0" fillId="0" borderId="0" xfId="0" quotePrefix="1">
      <alignment vertical="center"/>
    </xf>
    <xf numFmtId="0" fontId="0" fillId="0" borderId="28" xfId="0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28" xfId="0" applyNumberFormat="1" applyBorder="1" applyAlignment="1">
      <alignment horizontal="center" vertical="center"/>
    </xf>
    <xf numFmtId="0" fontId="0" fillId="4" borderId="0" xfId="0" applyFill="1">
      <alignment vertical="center"/>
    </xf>
    <xf numFmtId="0" fontId="0" fillId="5" borderId="28" xfId="0" applyFill="1" applyBorder="1">
      <alignment vertical="center"/>
    </xf>
    <xf numFmtId="0" fontId="0" fillId="2" borderId="0" xfId="0" applyFill="1">
      <alignment vertical="center"/>
    </xf>
    <xf numFmtId="0" fontId="0" fillId="7" borderId="0" xfId="0" applyFill="1">
      <alignment vertical="center"/>
    </xf>
    <xf numFmtId="0" fontId="0" fillId="2" borderId="28" xfId="0" applyFill="1" applyBorder="1">
      <alignment vertical="center"/>
    </xf>
    <xf numFmtId="0" fontId="0" fillId="8" borderId="28" xfId="0" applyFill="1" applyBorder="1">
      <alignment vertical="center"/>
    </xf>
    <xf numFmtId="0" fontId="0" fillId="3" borderId="0" xfId="0" applyFill="1">
      <alignment vertical="center"/>
    </xf>
    <xf numFmtId="0" fontId="0" fillId="9" borderId="0" xfId="0" applyFill="1">
      <alignment vertical="center"/>
    </xf>
    <xf numFmtId="0" fontId="0" fillId="9" borderId="31" xfId="0" applyFill="1" applyBorder="1">
      <alignment vertical="center"/>
    </xf>
    <xf numFmtId="0" fontId="0" fillId="10" borderId="28" xfId="0" applyFill="1" applyBorder="1">
      <alignment vertical="center"/>
    </xf>
    <xf numFmtId="0" fontId="0" fillId="11" borderId="0" xfId="0" applyFill="1">
      <alignment vertical="center"/>
    </xf>
    <xf numFmtId="0" fontId="0" fillId="6" borderId="28" xfId="0" applyFill="1" applyBorder="1">
      <alignment vertical="center"/>
    </xf>
    <xf numFmtId="0" fontId="11" fillId="0" borderId="37" xfId="0" applyFont="1" applyBorder="1" applyAlignment="1">
      <alignment horizontal="left" vertical="center" wrapText="1"/>
    </xf>
    <xf numFmtId="0" fontId="11" fillId="0" borderId="38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177" fontId="11" fillId="0" borderId="39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179" fontId="0" fillId="12" borderId="28" xfId="0" applyNumberFormat="1" applyFill="1" applyBorder="1" applyAlignment="1">
      <alignment horizontal="center" vertical="center"/>
    </xf>
    <xf numFmtId="178" fontId="0" fillId="12" borderId="28" xfId="0" applyNumberFormat="1" applyFill="1" applyBorder="1" applyAlignment="1">
      <alignment horizontal="center" vertical="center"/>
    </xf>
    <xf numFmtId="2" fontId="0" fillId="12" borderId="28" xfId="0" applyNumberFormat="1" applyFill="1" applyBorder="1" applyAlignment="1">
      <alignment horizontal="center" vertical="center"/>
    </xf>
    <xf numFmtId="0" fontId="0" fillId="0" borderId="28" xfId="0" applyBorder="1">
      <alignment vertical="center"/>
    </xf>
    <xf numFmtId="0" fontId="0" fillId="13" borderId="28" xfId="0" applyFill="1" applyBorder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30" xfId="0" applyBorder="1">
      <alignment vertical="center"/>
    </xf>
    <xf numFmtId="0" fontId="0" fillId="0" borderId="27" xfId="0" applyBorder="1">
      <alignment vertical="center"/>
    </xf>
    <xf numFmtId="0" fontId="15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7" fillId="0" borderId="0" xfId="0" applyFont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7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justify" vertical="center" wrapText="1"/>
    </xf>
    <xf numFmtId="0" fontId="4" fillId="0" borderId="12" xfId="0" applyFont="1" applyBorder="1" applyAlignment="1">
      <alignment horizontal="justify" vertical="center" wrapText="1"/>
    </xf>
    <xf numFmtId="0" fontId="4" fillId="0" borderId="14" xfId="0" applyFont="1" applyBorder="1" applyAlignment="1">
      <alignment horizontal="justify" vertical="center" wrapText="1"/>
    </xf>
    <xf numFmtId="0" fontId="4" fillId="0" borderId="15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6" xfId="0" applyFont="1" applyBorder="1" applyAlignment="1">
      <alignment horizontal="justify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6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12" fillId="0" borderId="0" xfId="0" applyFont="1" applyAlignment="1">
      <alignment horizontal="center" vertical="center" wrapText="1"/>
    </xf>
    <xf numFmtId="0" fontId="11" fillId="0" borderId="59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right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5" borderId="28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78DA-C26F-4415-970A-4CD03A7A04A1}">
  <dimension ref="A1:AB50"/>
  <sheetViews>
    <sheetView view="pageBreakPreview" topLeftCell="A10" zoomScaleNormal="100" zoomScaleSheetLayoutView="100" workbookViewId="0">
      <selection activeCell="B25" sqref="B19:D26"/>
    </sheetView>
  </sheetViews>
  <sheetFormatPr defaultRowHeight="19.5" customHeight="1"/>
  <cols>
    <col min="2" max="2" width="8.125" customWidth="1"/>
    <col min="3" max="6" width="2.5" customWidth="1"/>
    <col min="7" max="11" width="3.625" customWidth="1"/>
    <col min="12" max="21" width="3.875" customWidth="1"/>
    <col min="22" max="25" width="2.875" customWidth="1"/>
    <col min="26" max="27" width="5" customWidth="1"/>
    <col min="28" max="28" width="3.875" customWidth="1"/>
  </cols>
  <sheetData>
    <row r="1" spans="1:28" ht="19.5" customHeight="1">
      <c r="A1" s="1"/>
    </row>
    <row r="2" spans="1:28" ht="19.5" customHeight="1">
      <c r="B2" s="123" t="s">
        <v>0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4" t="s">
        <v>1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</row>
    <row r="3" spans="1:28" ht="19.5" customHeight="1">
      <c r="B3" s="125" t="s">
        <v>2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6"/>
      <c r="P3" s="127" t="s">
        <v>3</v>
      </c>
      <c r="Q3" s="128"/>
      <c r="R3" s="129"/>
      <c r="S3" s="127" t="s">
        <v>4</v>
      </c>
      <c r="T3" s="128"/>
      <c r="U3" s="129"/>
      <c r="V3" s="127" t="s">
        <v>5</v>
      </c>
      <c r="W3" s="128"/>
      <c r="X3" s="128"/>
      <c r="Y3" s="129"/>
      <c r="Z3" s="127" t="s">
        <v>6</v>
      </c>
      <c r="AA3" s="129"/>
      <c r="AB3" s="2" t="s">
        <v>7</v>
      </c>
    </row>
    <row r="4" spans="1:28" ht="19.5" customHeight="1"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6"/>
      <c r="P4" s="119"/>
      <c r="Q4" s="122"/>
      <c r="R4" s="120"/>
      <c r="S4" s="130"/>
      <c r="T4" s="131"/>
      <c r="U4" s="132"/>
      <c r="V4" s="130"/>
      <c r="W4" s="131"/>
      <c r="X4" s="131"/>
      <c r="Y4" s="132"/>
      <c r="Z4" s="119"/>
      <c r="AA4" s="120"/>
      <c r="AB4" s="3" t="s">
        <v>8</v>
      </c>
    </row>
    <row r="5" spans="1:28" ht="19.5" customHeight="1"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</row>
    <row r="6" spans="1:28" ht="19.5" customHeight="1">
      <c r="B6" s="54" t="s">
        <v>9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6"/>
    </row>
    <row r="7" spans="1:28" ht="19.5" customHeight="1">
      <c r="B7" s="58" t="s">
        <v>10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</row>
    <row r="8" spans="1:28" ht="19.5" customHeight="1">
      <c r="B8" s="54" t="s">
        <v>11</v>
      </c>
      <c r="C8" s="56"/>
      <c r="D8" s="54" t="s">
        <v>12</v>
      </c>
      <c r="E8" s="55"/>
      <c r="F8" s="55"/>
      <c r="G8" s="55"/>
      <c r="H8" s="55"/>
      <c r="I8" s="55"/>
      <c r="J8" s="55"/>
      <c r="K8" s="56"/>
      <c r="L8" s="54" t="s">
        <v>13</v>
      </c>
      <c r="M8" s="55"/>
      <c r="N8" s="55"/>
      <c r="O8" s="55"/>
      <c r="P8" s="55"/>
      <c r="Q8" s="55"/>
      <c r="R8" s="55"/>
      <c r="S8" s="56"/>
      <c r="T8" s="54" t="s">
        <v>14</v>
      </c>
      <c r="U8" s="55"/>
      <c r="V8" s="55"/>
      <c r="W8" s="55"/>
      <c r="X8" s="55"/>
      <c r="Y8" s="55"/>
      <c r="Z8" s="55"/>
      <c r="AA8" s="55"/>
      <c r="AB8" s="56"/>
    </row>
    <row r="9" spans="1:28" ht="19.5" customHeight="1">
      <c r="B9" s="85">
        <v>1</v>
      </c>
      <c r="C9" s="87"/>
      <c r="D9" s="85" t="s">
        <v>95</v>
      </c>
      <c r="E9" s="86"/>
      <c r="F9" s="86"/>
      <c r="G9" s="86"/>
      <c r="H9" s="86"/>
      <c r="I9" s="86"/>
      <c r="J9" s="86"/>
      <c r="K9" s="87"/>
      <c r="L9" s="85" t="s">
        <v>98</v>
      </c>
      <c r="M9" s="86"/>
      <c r="N9" s="86"/>
      <c r="O9" s="86"/>
      <c r="P9" s="86"/>
      <c r="Q9" s="86"/>
      <c r="R9" s="86"/>
      <c r="S9" s="87"/>
      <c r="T9" s="85" t="s">
        <v>16</v>
      </c>
      <c r="U9" s="86"/>
      <c r="V9" s="86"/>
      <c r="W9" s="86"/>
      <c r="X9" s="86"/>
      <c r="Y9" s="86"/>
      <c r="Z9" s="86"/>
      <c r="AA9" s="86"/>
      <c r="AB9" s="87"/>
    </row>
    <row r="10" spans="1:28" ht="19.5" customHeight="1">
      <c r="B10" s="85">
        <v>2</v>
      </c>
      <c r="C10" s="87"/>
      <c r="D10" s="85" t="s">
        <v>96</v>
      </c>
      <c r="E10" s="86"/>
      <c r="F10" s="86"/>
      <c r="G10" s="86"/>
      <c r="H10" s="86"/>
      <c r="I10" s="86"/>
      <c r="J10" s="86"/>
      <c r="K10" s="87"/>
      <c r="L10" s="85" t="s">
        <v>98</v>
      </c>
      <c r="M10" s="86"/>
      <c r="N10" s="86"/>
      <c r="O10" s="86"/>
      <c r="P10" s="86"/>
      <c r="Q10" s="86"/>
      <c r="R10" s="86"/>
      <c r="S10" s="87"/>
      <c r="T10" s="85" t="s">
        <v>16</v>
      </c>
      <c r="U10" s="86"/>
      <c r="V10" s="86"/>
      <c r="W10" s="86"/>
      <c r="X10" s="86"/>
      <c r="Y10" s="86"/>
      <c r="Z10" s="86"/>
      <c r="AA10" s="86"/>
      <c r="AB10" s="87"/>
    </row>
    <row r="11" spans="1:28" ht="19.5" customHeight="1">
      <c r="B11" s="85">
        <v>3</v>
      </c>
      <c r="C11" s="87"/>
      <c r="D11" s="85" t="s">
        <v>97</v>
      </c>
      <c r="E11" s="86"/>
      <c r="F11" s="86"/>
      <c r="G11" s="86"/>
      <c r="H11" s="86"/>
      <c r="I11" s="86"/>
      <c r="J11" s="86"/>
      <c r="K11" s="87"/>
      <c r="L11" s="85" t="s">
        <v>98</v>
      </c>
      <c r="M11" s="86"/>
      <c r="N11" s="86"/>
      <c r="O11" s="86"/>
      <c r="P11" s="86"/>
      <c r="Q11" s="86"/>
      <c r="R11" s="86"/>
      <c r="S11" s="87"/>
      <c r="T11" s="85" t="s">
        <v>16</v>
      </c>
      <c r="U11" s="86"/>
      <c r="V11" s="86"/>
      <c r="W11" s="86"/>
      <c r="X11" s="86"/>
      <c r="Y11" s="86"/>
      <c r="Z11" s="86"/>
      <c r="AA11" s="86"/>
      <c r="AB11" s="87"/>
    </row>
    <row r="12" spans="1:28" ht="19.5" customHeight="1">
      <c r="B12" s="85">
        <v>4</v>
      </c>
      <c r="C12" s="87"/>
      <c r="D12" s="85"/>
      <c r="E12" s="86"/>
      <c r="F12" s="86"/>
      <c r="G12" s="86"/>
      <c r="H12" s="86"/>
      <c r="I12" s="86"/>
      <c r="J12" s="86"/>
      <c r="K12" s="87"/>
      <c r="L12" s="85"/>
      <c r="M12" s="86"/>
      <c r="N12" s="86"/>
      <c r="O12" s="86"/>
      <c r="P12" s="86"/>
      <c r="Q12" s="86"/>
      <c r="R12" s="86"/>
      <c r="S12" s="87"/>
      <c r="T12" s="85"/>
      <c r="U12" s="86"/>
      <c r="V12" s="86"/>
      <c r="W12" s="86"/>
      <c r="X12" s="86"/>
      <c r="Y12" s="86"/>
      <c r="Z12" s="86"/>
      <c r="AA12" s="86"/>
      <c r="AB12" s="87"/>
    </row>
    <row r="13" spans="1:28" ht="19.5" customHeight="1">
      <c r="B13" s="88"/>
      <c r="C13" s="89"/>
      <c r="D13" s="88"/>
      <c r="E13" s="90"/>
      <c r="F13" s="90"/>
      <c r="G13" s="90"/>
      <c r="H13" s="90"/>
      <c r="I13" s="90"/>
      <c r="J13" s="90"/>
      <c r="K13" s="89"/>
      <c r="L13" s="88"/>
      <c r="M13" s="90"/>
      <c r="N13" s="90"/>
      <c r="O13" s="90"/>
      <c r="P13" s="90"/>
      <c r="Q13" s="90"/>
      <c r="R13" s="90"/>
      <c r="S13" s="89"/>
      <c r="T13" s="88"/>
      <c r="U13" s="90"/>
      <c r="V13" s="90"/>
      <c r="W13" s="90"/>
      <c r="X13" s="90"/>
      <c r="Y13" s="90"/>
      <c r="Z13" s="90"/>
      <c r="AA13" s="90"/>
      <c r="AB13" s="89"/>
    </row>
    <row r="14" spans="1:28" ht="19.5" customHeight="1">
      <c r="B14" s="65" t="s">
        <v>19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</row>
    <row r="15" spans="1:28" ht="19.5" customHeight="1">
      <c r="B15" s="118" t="s">
        <v>20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 spans="1:28" ht="19.5" customHeight="1">
      <c r="B16" s="68" t="s">
        <v>21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</row>
    <row r="17" spans="2:28" ht="19.5" customHeight="1">
      <c r="B17" s="61" t="s">
        <v>22</v>
      </c>
      <c r="C17" s="62"/>
      <c r="D17" s="63"/>
      <c r="E17" s="61" t="s">
        <v>24</v>
      </c>
      <c r="F17" s="62"/>
      <c r="G17" s="63"/>
      <c r="H17" s="61" t="s">
        <v>26</v>
      </c>
      <c r="I17" s="63"/>
      <c r="J17" s="61" t="s">
        <v>28</v>
      </c>
      <c r="K17" s="62"/>
      <c r="L17" s="63"/>
      <c r="M17" s="61" t="s">
        <v>30</v>
      </c>
      <c r="N17" s="62"/>
      <c r="O17" s="62"/>
      <c r="P17" s="62"/>
      <c r="Q17" s="63"/>
      <c r="R17" s="61" t="s">
        <v>32</v>
      </c>
      <c r="S17" s="62"/>
      <c r="T17" s="63"/>
      <c r="U17" s="61" t="s">
        <v>34</v>
      </c>
      <c r="V17" s="62"/>
      <c r="W17" s="62"/>
      <c r="X17" s="63"/>
      <c r="Y17" s="54" t="s">
        <v>36</v>
      </c>
      <c r="Z17" s="55"/>
      <c r="AA17" s="55"/>
      <c r="AB17" s="56"/>
    </row>
    <row r="18" spans="2:28" ht="19.5" customHeight="1">
      <c r="B18" s="70" t="s">
        <v>23</v>
      </c>
      <c r="C18" s="71"/>
      <c r="D18" s="72"/>
      <c r="E18" s="70" t="s">
        <v>25</v>
      </c>
      <c r="F18" s="71"/>
      <c r="G18" s="72"/>
      <c r="H18" s="70" t="s">
        <v>27</v>
      </c>
      <c r="I18" s="72"/>
      <c r="J18" s="70" t="s">
        <v>29</v>
      </c>
      <c r="K18" s="71"/>
      <c r="L18" s="72"/>
      <c r="M18" s="70" t="s">
        <v>31</v>
      </c>
      <c r="N18" s="71"/>
      <c r="O18" s="71"/>
      <c r="P18" s="71"/>
      <c r="Q18" s="72"/>
      <c r="R18" s="70" t="s">
        <v>33</v>
      </c>
      <c r="S18" s="71"/>
      <c r="T18" s="72"/>
      <c r="U18" s="70" t="s">
        <v>35</v>
      </c>
      <c r="V18" s="71"/>
      <c r="W18" s="71"/>
      <c r="X18" s="72"/>
      <c r="Y18" s="54" t="s">
        <v>37</v>
      </c>
      <c r="Z18" s="56"/>
      <c r="AA18" s="54" t="s">
        <v>38</v>
      </c>
      <c r="AB18" s="56"/>
    </row>
    <row r="19" spans="2:28" ht="19.5" customHeight="1">
      <c r="B19" s="91" t="s">
        <v>163</v>
      </c>
      <c r="C19" s="92"/>
      <c r="D19" s="93"/>
      <c r="E19" s="91" t="s">
        <v>39</v>
      </c>
      <c r="F19" s="92"/>
      <c r="G19" s="93"/>
      <c r="H19" s="79"/>
      <c r="I19" s="81"/>
      <c r="J19" s="79"/>
      <c r="K19" s="80"/>
      <c r="L19" s="81"/>
      <c r="M19" s="102"/>
      <c r="N19" s="103"/>
      <c r="O19" s="103"/>
      <c r="P19" s="103"/>
      <c r="Q19" s="104"/>
      <c r="R19" s="102"/>
      <c r="S19" s="103"/>
      <c r="T19" s="104"/>
      <c r="U19" s="102"/>
      <c r="V19" s="103"/>
      <c r="W19" s="103"/>
      <c r="X19" s="104"/>
      <c r="Y19" s="107"/>
      <c r="Z19" s="108"/>
      <c r="AA19" s="107"/>
      <c r="AB19" s="108"/>
    </row>
    <row r="20" spans="2:28" ht="19.5" customHeight="1">
      <c r="B20" s="112"/>
      <c r="C20" s="113"/>
      <c r="D20" s="114"/>
      <c r="E20" s="112"/>
      <c r="F20" s="113"/>
      <c r="G20" s="114"/>
      <c r="H20" s="115"/>
      <c r="I20" s="116"/>
      <c r="J20" s="115"/>
      <c r="K20" s="117"/>
      <c r="L20" s="116"/>
      <c r="M20" s="109"/>
      <c r="N20" s="110"/>
      <c r="O20" s="110"/>
      <c r="P20" s="110"/>
      <c r="Q20" s="111"/>
      <c r="R20" s="109"/>
      <c r="S20" s="110"/>
      <c r="T20" s="111"/>
      <c r="U20" s="109"/>
      <c r="V20" s="110"/>
      <c r="W20" s="110"/>
      <c r="X20" s="111"/>
      <c r="Y20" s="105"/>
      <c r="Z20" s="106"/>
      <c r="AA20" s="105"/>
      <c r="AB20" s="106"/>
    </row>
    <row r="21" spans="2:28" ht="19.5" customHeight="1">
      <c r="B21" s="112"/>
      <c r="C21" s="113"/>
      <c r="D21" s="114"/>
      <c r="E21" s="112"/>
      <c r="F21" s="113"/>
      <c r="G21" s="114"/>
      <c r="H21" s="115"/>
      <c r="I21" s="116"/>
      <c r="J21" s="115"/>
      <c r="K21" s="117"/>
      <c r="L21" s="116"/>
      <c r="M21" s="109"/>
      <c r="N21" s="110"/>
      <c r="O21" s="110"/>
      <c r="P21" s="110"/>
      <c r="Q21" s="111"/>
      <c r="R21" s="109"/>
      <c r="S21" s="110"/>
      <c r="T21" s="111"/>
      <c r="U21" s="109"/>
      <c r="V21" s="110"/>
      <c r="W21" s="110"/>
      <c r="X21" s="111"/>
      <c r="Y21" s="105"/>
      <c r="Z21" s="106"/>
      <c r="AA21" s="105"/>
      <c r="AB21" s="106"/>
    </row>
    <row r="22" spans="2:28" ht="19.5" customHeight="1">
      <c r="B22" s="94"/>
      <c r="C22" s="95"/>
      <c r="D22" s="96"/>
      <c r="E22" s="94"/>
      <c r="F22" s="95"/>
      <c r="G22" s="96"/>
      <c r="H22" s="82"/>
      <c r="I22" s="84"/>
      <c r="J22" s="82"/>
      <c r="K22" s="83"/>
      <c r="L22" s="84"/>
      <c r="M22" s="97"/>
      <c r="N22" s="98"/>
      <c r="O22" s="98"/>
      <c r="P22" s="98"/>
      <c r="Q22" s="99"/>
      <c r="R22" s="97"/>
      <c r="S22" s="98"/>
      <c r="T22" s="99"/>
      <c r="U22" s="97"/>
      <c r="V22" s="98"/>
      <c r="W22" s="98"/>
      <c r="X22" s="99"/>
      <c r="Y22" s="100"/>
      <c r="Z22" s="101"/>
      <c r="AA22" s="100"/>
      <c r="AB22" s="101"/>
    </row>
    <row r="23" spans="2:28" ht="19.5" customHeight="1">
      <c r="B23" s="91" t="s">
        <v>90</v>
      </c>
      <c r="C23" s="92"/>
      <c r="D23" s="93"/>
      <c r="E23" s="91" t="s">
        <v>39</v>
      </c>
      <c r="F23" s="92"/>
      <c r="G23" s="93"/>
      <c r="H23" s="79"/>
      <c r="I23" s="81"/>
      <c r="J23" s="79"/>
      <c r="K23" s="80"/>
      <c r="L23" s="81"/>
      <c r="M23" s="102"/>
      <c r="N23" s="103"/>
      <c r="O23" s="103"/>
      <c r="P23" s="103"/>
      <c r="Q23" s="104"/>
      <c r="R23" s="102"/>
      <c r="S23" s="103"/>
      <c r="T23" s="104"/>
      <c r="U23" s="102"/>
      <c r="V23" s="103"/>
      <c r="W23" s="103"/>
      <c r="X23" s="104"/>
      <c r="Y23" s="107"/>
      <c r="Z23" s="108"/>
      <c r="AA23" s="107"/>
      <c r="AB23" s="108"/>
    </row>
    <row r="24" spans="2:28" ht="19.5" customHeight="1">
      <c r="B24" s="94"/>
      <c r="C24" s="95"/>
      <c r="D24" s="96"/>
      <c r="E24" s="94"/>
      <c r="F24" s="95"/>
      <c r="G24" s="96"/>
      <c r="H24" s="82"/>
      <c r="I24" s="84"/>
      <c r="J24" s="82"/>
      <c r="K24" s="83"/>
      <c r="L24" s="84"/>
      <c r="M24" s="97"/>
      <c r="N24" s="98"/>
      <c r="O24" s="98"/>
      <c r="P24" s="98"/>
      <c r="Q24" s="99"/>
      <c r="R24" s="97"/>
      <c r="S24" s="98"/>
      <c r="T24" s="99"/>
      <c r="U24" s="97"/>
      <c r="V24" s="98"/>
      <c r="W24" s="98"/>
      <c r="X24" s="99"/>
      <c r="Y24" s="100"/>
      <c r="Z24" s="101"/>
      <c r="AA24" s="100"/>
      <c r="AB24" s="101"/>
    </row>
    <row r="25" spans="2:28" ht="19.5" customHeight="1">
      <c r="B25" s="91" t="s">
        <v>162</v>
      </c>
      <c r="C25" s="92"/>
      <c r="D25" s="93"/>
      <c r="E25" s="91" t="s">
        <v>39</v>
      </c>
      <c r="F25" s="92"/>
      <c r="G25" s="93"/>
      <c r="H25" s="79"/>
      <c r="I25" s="81"/>
      <c r="J25" s="79"/>
      <c r="K25" s="80"/>
      <c r="L25" s="81"/>
      <c r="M25" s="79"/>
      <c r="N25" s="80"/>
      <c r="O25" s="80"/>
      <c r="P25" s="80"/>
      <c r="Q25" s="81"/>
      <c r="R25" s="79"/>
      <c r="S25" s="80"/>
      <c r="T25" s="81"/>
      <c r="U25" s="79"/>
      <c r="V25" s="80"/>
      <c r="W25" s="80"/>
      <c r="X25" s="81"/>
      <c r="Y25" s="61"/>
      <c r="Z25" s="63"/>
      <c r="AA25" s="61"/>
      <c r="AB25" s="63"/>
    </row>
    <row r="26" spans="2:28" ht="19.5" customHeight="1">
      <c r="B26" s="94"/>
      <c r="C26" s="95"/>
      <c r="D26" s="96"/>
      <c r="E26" s="94"/>
      <c r="F26" s="95"/>
      <c r="G26" s="96"/>
      <c r="H26" s="82"/>
      <c r="I26" s="84"/>
      <c r="J26" s="82"/>
      <c r="K26" s="83"/>
      <c r="L26" s="84"/>
      <c r="M26" s="82"/>
      <c r="N26" s="83"/>
      <c r="O26" s="83"/>
      <c r="P26" s="83"/>
      <c r="Q26" s="84"/>
      <c r="R26" s="82"/>
      <c r="S26" s="83"/>
      <c r="T26" s="84"/>
      <c r="U26" s="82"/>
      <c r="V26" s="83"/>
      <c r="W26" s="83"/>
      <c r="X26" s="84"/>
      <c r="Y26" s="70"/>
      <c r="Z26" s="72"/>
      <c r="AA26" s="70"/>
      <c r="AB26" s="72"/>
    </row>
    <row r="27" spans="2:28" ht="19.5" customHeight="1">
      <c r="B27" s="85"/>
      <c r="C27" s="86"/>
      <c r="D27" s="87"/>
      <c r="E27" s="85"/>
      <c r="F27" s="86"/>
      <c r="G27" s="87"/>
      <c r="H27" s="88"/>
      <c r="I27" s="89"/>
      <c r="J27" s="88"/>
      <c r="K27" s="90"/>
      <c r="L27" s="89"/>
      <c r="M27" s="88"/>
      <c r="N27" s="90"/>
      <c r="O27" s="90"/>
      <c r="P27" s="90"/>
      <c r="Q27" s="89"/>
      <c r="R27" s="88"/>
      <c r="S27" s="90"/>
      <c r="T27" s="89"/>
      <c r="U27" s="88"/>
      <c r="V27" s="90"/>
      <c r="W27" s="90"/>
      <c r="X27" s="89"/>
      <c r="Y27" s="54"/>
      <c r="Z27" s="56"/>
      <c r="AA27" s="54"/>
      <c r="AB27" s="56"/>
    </row>
    <row r="28" spans="2:28" ht="19.5" customHeight="1">
      <c r="B28" s="58" t="s">
        <v>40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</row>
    <row r="29" spans="2:28" ht="19.5" customHeight="1">
      <c r="B29" s="54" t="s">
        <v>41</v>
      </c>
      <c r="C29" s="55"/>
      <c r="D29" s="55"/>
      <c r="E29" s="56"/>
      <c r="F29" s="54" t="s">
        <v>42</v>
      </c>
      <c r="G29" s="55"/>
      <c r="H29" s="55"/>
      <c r="I29" s="55"/>
      <c r="J29" s="56"/>
      <c r="K29" s="54" t="s">
        <v>43</v>
      </c>
      <c r="L29" s="55"/>
      <c r="M29" s="55"/>
      <c r="N29" s="56"/>
      <c r="O29" s="54" t="s">
        <v>44</v>
      </c>
      <c r="P29" s="55"/>
      <c r="Q29" s="55"/>
      <c r="R29" s="55"/>
      <c r="S29" s="55"/>
      <c r="T29" s="55"/>
      <c r="U29" s="55"/>
      <c r="V29" s="55"/>
      <c r="W29" s="56"/>
      <c r="X29" s="54" t="s">
        <v>45</v>
      </c>
      <c r="Y29" s="55"/>
      <c r="Z29" s="55"/>
      <c r="AA29" s="55"/>
      <c r="AB29" s="56"/>
    </row>
    <row r="30" spans="2:28" ht="19.5" customHeight="1">
      <c r="B30" s="54" t="s">
        <v>46</v>
      </c>
      <c r="C30" s="55"/>
      <c r="D30" s="55"/>
      <c r="E30" s="56"/>
      <c r="F30" s="54"/>
      <c r="G30" s="55"/>
      <c r="H30" s="55"/>
      <c r="I30" s="55"/>
      <c r="J30" s="56"/>
      <c r="K30" s="54" t="s">
        <v>47</v>
      </c>
      <c r="L30" s="55"/>
      <c r="M30" s="55"/>
      <c r="N30" s="56"/>
      <c r="O30" s="54" t="s">
        <v>94</v>
      </c>
      <c r="P30" s="55"/>
      <c r="Q30" s="55"/>
      <c r="R30" s="55"/>
      <c r="S30" s="55"/>
      <c r="T30" s="55"/>
      <c r="U30" s="55"/>
      <c r="V30" s="55"/>
      <c r="W30" s="56"/>
      <c r="X30" s="57"/>
      <c r="Y30" s="58"/>
      <c r="Z30" s="58"/>
      <c r="AA30" s="58"/>
      <c r="AB30" s="59"/>
    </row>
    <row r="31" spans="2:28" ht="19.5" customHeight="1">
      <c r="B31" s="58" t="s">
        <v>48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</row>
    <row r="32" spans="2:28" ht="19.5" customHeight="1">
      <c r="B32" s="57" t="s">
        <v>49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9"/>
    </row>
    <row r="33" spans="2:28" ht="19.5" customHeight="1">
      <c r="B33" s="54" t="s">
        <v>50</v>
      </c>
      <c r="C33" s="55"/>
      <c r="D33" s="55"/>
      <c r="E33" s="55"/>
      <c r="F33" s="55"/>
      <c r="G33" s="55"/>
      <c r="H33" s="56"/>
      <c r="I33" s="54" t="s">
        <v>51</v>
      </c>
      <c r="J33" s="55"/>
      <c r="K33" s="55"/>
      <c r="L33" s="55"/>
      <c r="M33" s="56"/>
      <c r="N33" s="54" t="s">
        <v>52</v>
      </c>
      <c r="O33" s="55"/>
      <c r="P33" s="56"/>
      <c r="Q33" s="54" t="s">
        <v>53</v>
      </c>
      <c r="R33" s="55"/>
      <c r="S33" s="55"/>
      <c r="T33" s="55"/>
      <c r="U33" s="55"/>
      <c r="V33" s="56"/>
      <c r="W33" s="54" t="s">
        <v>54</v>
      </c>
      <c r="X33" s="55"/>
      <c r="Y33" s="55"/>
      <c r="Z33" s="56"/>
      <c r="AA33" s="54" t="s">
        <v>55</v>
      </c>
      <c r="AB33" s="56"/>
    </row>
    <row r="34" spans="2:28" ht="19.5" customHeight="1">
      <c r="B34" s="64" t="s">
        <v>56</v>
      </c>
      <c r="C34" s="65"/>
      <c r="D34" s="65"/>
      <c r="E34" s="65"/>
      <c r="F34" s="65"/>
      <c r="G34" s="65"/>
      <c r="H34" s="66"/>
      <c r="I34" s="73" t="s">
        <v>58</v>
      </c>
      <c r="J34" s="74"/>
      <c r="K34" s="74"/>
      <c r="L34" s="74"/>
      <c r="M34" s="75"/>
      <c r="N34" s="73" t="s">
        <v>59</v>
      </c>
      <c r="O34" s="74"/>
      <c r="P34" s="75"/>
      <c r="Q34" s="73" t="s">
        <v>60</v>
      </c>
      <c r="R34" s="74"/>
      <c r="S34" s="74"/>
      <c r="T34" s="74"/>
      <c r="U34" s="74"/>
      <c r="V34" s="75"/>
      <c r="W34" s="73" t="s">
        <v>61</v>
      </c>
      <c r="X34" s="74"/>
      <c r="Y34" s="74"/>
      <c r="Z34" s="75"/>
      <c r="AA34" s="73" t="s">
        <v>62</v>
      </c>
      <c r="AB34" s="75"/>
    </row>
    <row r="35" spans="2:28" ht="19.5" customHeight="1">
      <c r="B35" s="67" t="s">
        <v>57</v>
      </c>
      <c r="C35" s="68"/>
      <c r="D35" s="68"/>
      <c r="E35" s="68"/>
      <c r="F35" s="68"/>
      <c r="G35" s="68"/>
      <c r="H35" s="69"/>
      <c r="I35" s="76"/>
      <c r="J35" s="77"/>
      <c r="K35" s="77"/>
      <c r="L35" s="77"/>
      <c r="M35" s="78"/>
      <c r="N35" s="76"/>
      <c r="O35" s="77"/>
      <c r="P35" s="78"/>
      <c r="Q35" s="76"/>
      <c r="R35" s="77"/>
      <c r="S35" s="77"/>
      <c r="T35" s="77"/>
      <c r="U35" s="77"/>
      <c r="V35" s="78"/>
      <c r="W35" s="76"/>
      <c r="X35" s="77"/>
      <c r="Y35" s="77"/>
      <c r="Z35" s="78"/>
      <c r="AA35" s="76"/>
      <c r="AB35" s="78"/>
    </row>
    <row r="36" spans="2:28" ht="19.5" customHeight="1">
      <c r="B36" s="4" t="s">
        <v>63</v>
      </c>
      <c r="C36" s="61" t="s">
        <v>65</v>
      </c>
      <c r="D36" s="62"/>
      <c r="E36" s="62"/>
      <c r="F36" s="63"/>
      <c r="G36" s="61" t="s">
        <v>66</v>
      </c>
      <c r="H36" s="63"/>
      <c r="I36" s="61" t="s">
        <v>68</v>
      </c>
      <c r="J36" s="62"/>
      <c r="K36" s="62"/>
      <c r="L36" s="62"/>
      <c r="M36" s="63"/>
      <c r="N36" s="61" t="s">
        <v>70</v>
      </c>
      <c r="O36" s="62"/>
      <c r="P36" s="63"/>
      <c r="Q36" s="61" t="s">
        <v>72</v>
      </c>
      <c r="R36" s="62"/>
      <c r="S36" s="62"/>
      <c r="T36" s="62"/>
      <c r="U36" s="62"/>
      <c r="V36" s="63"/>
      <c r="W36" s="61" t="s">
        <v>74</v>
      </c>
      <c r="X36" s="62"/>
      <c r="Y36" s="62"/>
      <c r="Z36" s="63"/>
      <c r="AA36" s="61" t="s">
        <v>76</v>
      </c>
      <c r="AB36" s="63"/>
    </row>
    <row r="37" spans="2:28" ht="19.5" customHeight="1">
      <c r="B37" s="5" t="s">
        <v>64</v>
      </c>
      <c r="C37" s="70" t="s">
        <v>23</v>
      </c>
      <c r="D37" s="71"/>
      <c r="E37" s="71"/>
      <c r="F37" s="72"/>
      <c r="G37" s="70" t="s">
        <v>67</v>
      </c>
      <c r="H37" s="72"/>
      <c r="I37" s="70" t="s">
        <v>69</v>
      </c>
      <c r="J37" s="71"/>
      <c r="K37" s="71"/>
      <c r="L37" s="71"/>
      <c r="M37" s="72"/>
      <c r="N37" s="70" t="s">
        <v>71</v>
      </c>
      <c r="O37" s="71"/>
      <c r="P37" s="72"/>
      <c r="Q37" s="70" t="s">
        <v>73</v>
      </c>
      <c r="R37" s="71"/>
      <c r="S37" s="71"/>
      <c r="T37" s="71"/>
      <c r="U37" s="71"/>
      <c r="V37" s="72"/>
      <c r="W37" s="70" t="s">
        <v>75</v>
      </c>
      <c r="X37" s="71"/>
      <c r="Y37" s="71"/>
      <c r="Z37" s="72"/>
      <c r="AA37" s="70" t="s">
        <v>77</v>
      </c>
      <c r="AB37" s="72"/>
    </row>
    <row r="38" spans="2:28" ht="19.5" customHeight="1">
      <c r="B38" s="6"/>
      <c r="C38" s="57"/>
      <c r="D38" s="58"/>
      <c r="E38" s="58"/>
      <c r="F38" s="59"/>
      <c r="G38" s="57"/>
      <c r="H38" s="59"/>
      <c r="I38" s="57"/>
      <c r="J38" s="58"/>
      <c r="K38" s="58"/>
      <c r="L38" s="58"/>
      <c r="M38" s="59"/>
      <c r="N38" s="57"/>
      <c r="O38" s="58"/>
      <c r="P38" s="59"/>
      <c r="Q38" s="57"/>
      <c r="R38" s="58"/>
      <c r="S38" s="58"/>
      <c r="T38" s="58"/>
      <c r="U38" s="58"/>
      <c r="V38" s="59"/>
      <c r="W38" s="57"/>
      <c r="X38" s="58"/>
      <c r="Y38" s="58"/>
      <c r="Z38" s="59"/>
      <c r="AA38" s="57"/>
      <c r="AB38" s="59"/>
    </row>
    <row r="39" spans="2:28" ht="19.5" customHeight="1">
      <c r="B39" s="61" t="s">
        <v>78</v>
      </c>
      <c r="C39" s="62"/>
      <c r="D39" s="62"/>
      <c r="E39" s="62"/>
      <c r="F39" s="62"/>
      <c r="G39" s="62"/>
      <c r="H39" s="63"/>
      <c r="I39" s="64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6"/>
    </row>
    <row r="40" spans="2:28" ht="19.5" customHeight="1">
      <c r="B40" s="70" t="s">
        <v>79</v>
      </c>
      <c r="C40" s="71"/>
      <c r="D40" s="71"/>
      <c r="E40" s="71"/>
      <c r="F40" s="71"/>
      <c r="G40" s="71"/>
      <c r="H40" s="72"/>
      <c r="I40" s="67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9"/>
    </row>
    <row r="41" spans="2:28" ht="19.5" customHeight="1">
      <c r="B41" s="61" t="s">
        <v>80</v>
      </c>
      <c r="C41" s="62"/>
      <c r="D41" s="62"/>
      <c r="E41" s="62"/>
      <c r="F41" s="62"/>
      <c r="G41" s="62"/>
      <c r="H41" s="63"/>
      <c r="I41" s="64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6"/>
    </row>
    <row r="42" spans="2:28" ht="19.5" customHeight="1">
      <c r="B42" s="70" t="s">
        <v>81</v>
      </c>
      <c r="C42" s="71"/>
      <c r="D42" s="71"/>
      <c r="E42" s="71"/>
      <c r="F42" s="71"/>
      <c r="G42" s="71"/>
      <c r="H42" s="72"/>
      <c r="I42" s="67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9"/>
    </row>
    <row r="43" spans="2:28" ht="19.5" customHeight="1">
      <c r="B43" s="54" t="s">
        <v>82</v>
      </c>
      <c r="C43" s="55"/>
      <c r="D43" s="55"/>
      <c r="E43" s="55"/>
      <c r="F43" s="55"/>
      <c r="G43" s="55"/>
      <c r="H43" s="56"/>
      <c r="I43" s="57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9"/>
    </row>
    <row r="44" spans="2:28" ht="19.5" customHeight="1">
      <c r="B44" s="54" t="s">
        <v>83</v>
      </c>
      <c r="C44" s="55"/>
      <c r="D44" s="55"/>
      <c r="E44" s="55"/>
      <c r="F44" s="55"/>
      <c r="G44" s="55"/>
      <c r="H44" s="56"/>
      <c r="I44" s="57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9"/>
    </row>
    <row r="45" spans="2:28" ht="19.5" customHeight="1">
      <c r="B45" s="57" t="s">
        <v>99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9"/>
    </row>
    <row r="46" spans="2:28" ht="19.5" customHeight="1">
      <c r="B46" s="60" t="s">
        <v>85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</row>
    <row r="47" spans="2:28" ht="19.5" customHeight="1">
      <c r="B47" s="53" t="s">
        <v>86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 spans="2:28" ht="19.5" customHeight="1">
      <c r="B48" s="53" t="s">
        <v>87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 spans="2:28" ht="19.5" customHeight="1">
      <c r="B49" s="53" t="s">
        <v>88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 spans="2:28" ht="19.5" customHeight="1">
      <c r="B50" s="53" t="s">
        <v>89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</sheetData>
  <mergeCells count="178">
    <mergeCell ref="B2:O2"/>
    <mergeCell ref="P2:AB2"/>
    <mergeCell ref="B3:O4"/>
    <mergeCell ref="P3:R3"/>
    <mergeCell ref="S3:U3"/>
    <mergeCell ref="V3:Y3"/>
    <mergeCell ref="Z3:AA3"/>
    <mergeCell ref="P4:R4"/>
    <mergeCell ref="S4:U4"/>
    <mergeCell ref="V4:Y4"/>
    <mergeCell ref="B9:C9"/>
    <mergeCell ref="D9:K9"/>
    <mergeCell ref="L9:S9"/>
    <mergeCell ref="T9:AB9"/>
    <mergeCell ref="B10:C10"/>
    <mergeCell ref="D10:K10"/>
    <mergeCell ref="L10:S10"/>
    <mergeCell ref="T10:AB10"/>
    <mergeCell ref="Z4:AA4"/>
    <mergeCell ref="B5:O5"/>
    <mergeCell ref="P5:AB5"/>
    <mergeCell ref="B6:AB6"/>
    <mergeCell ref="B7:AB7"/>
    <mergeCell ref="B8:C8"/>
    <mergeCell ref="D8:K8"/>
    <mergeCell ref="L8:S8"/>
    <mergeCell ref="T8:AB8"/>
    <mergeCell ref="B13:C13"/>
    <mergeCell ref="D13:K13"/>
    <mergeCell ref="L13:S13"/>
    <mergeCell ref="T13:AB13"/>
    <mergeCell ref="B14:AB14"/>
    <mergeCell ref="B15:AB15"/>
    <mergeCell ref="B11:C11"/>
    <mergeCell ref="D11:K11"/>
    <mergeCell ref="L11:S11"/>
    <mergeCell ref="T11:AB11"/>
    <mergeCell ref="B12:C12"/>
    <mergeCell ref="D12:K12"/>
    <mergeCell ref="L12:S12"/>
    <mergeCell ref="T12:AB12"/>
    <mergeCell ref="B16:AB16"/>
    <mergeCell ref="B17:D17"/>
    <mergeCell ref="E17:G17"/>
    <mergeCell ref="H17:I17"/>
    <mergeCell ref="J17:L17"/>
    <mergeCell ref="M17:Q17"/>
    <mergeCell ref="R17:T17"/>
    <mergeCell ref="U17:X17"/>
    <mergeCell ref="Y17:AB17"/>
    <mergeCell ref="B19:D22"/>
    <mergeCell ref="E19:G22"/>
    <mergeCell ref="H19:I22"/>
    <mergeCell ref="J19:L22"/>
    <mergeCell ref="M19:Q19"/>
    <mergeCell ref="R19:T19"/>
    <mergeCell ref="U19:X19"/>
    <mergeCell ref="B18:D18"/>
    <mergeCell ref="E18:G18"/>
    <mergeCell ref="H18:I18"/>
    <mergeCell ref="J18:L18"/>
    <mergeCell ref="M18:Q18"/>
    <mergeCell ref="R18:T18"/>
    <mergeCell ref="M21:Q21"/>
    <mergeCell ref="R21:T21"/>
    <mergeCell ref="U21:X21"/>
    <mergeCell ref="Y19:Z19"/>
    <mergeCell ref="AA19:AB19"/>
    <mergeCell ref="M20:Q20"/>
    <mergeCell ref="R20:T20"/>
    <mergeCell ref="U20:X20"/>
    <mergeCell ref="Y20:Z20"/>
    <mergeCell ref="AA20:AB20"/>
    <mergeCell ref="U18:X18"/>
    <mergeCell ref="Y18:Z18"/>
    <mergeCell ref="AA18:AB18"/>
    <mergeCell ref="Y21:Z21"/>
    <mergeCell ref="AA21:AB21"/>
    <mergeCell ref="M22:Q22"/>
    <mergeCell ref="R22:T22"/>
    <mergeCell ref="U22:X22"/>
    <mergeCell ref="Y22:Z22"/>
    <mergeCell ref="AA22:AB22"/>
    <mergeCell ref="U23:X23"/>
    <mergeCell ref="Y23:Z23"/>
    <mergeCell ref="AA23:AB23"/>
    <mergeCell ref="M24:Q24"/>
    <mergeCell ref="R24:T24"/>
    <mergeCell ref="U24:X24"/>
    <mergeCell ref="Y24:Z24"/>
    <mergeCell ref="AA24:AB24"/>
    <mergeCell ref="B23:D24"/>
    <mergeCell ref="E23:G24"/>
    <mergeCell ref="H23:I24"/>
    <mergeCell ref="J23:L24"/>
    <mergeCell ref="M23:Q23"/>
    <mergeCell ref="R23:T23"/>
    <mergeCell ref="U25:X26"/>
    <mergeCell ref="Y25:Z26"/>
    <mergeCell ref="AA25:AB26"/>
    <mergeCell ref="B27:D27"/>
    <mergeCell ref="E27:G27"/>
    <mergeCell ref="H27:I27"/>
    <mergeCell ref="J27:L27"/>
    <mergeCell ref="M27:Q27"/>
    <mergeCell ref="R27:T27"/>
    <mergeCell ref="U27:X27"/>
    <mergeCell ref="B25:D26"/>
    <mergeCell ref="E25:G26"/>
    <mergeCell ref="H25:I26"/>
    <mergeCell ref="J25:L26"/>
    <mergeCell ref="M25:Q26"/>
    <mergeCell ref="R25:T26"/>
    <mergeCell ref="B30:E30"/>
    <mergeCell ref="F30:J30"/>
    <mergeCell ref="K30:N30"/>
    <mergeCell ref="O30:W30"/>
    <mergeCell ref="X30:AB30"/>
    <mergeCell ref="B31:AB31"/>
    <mergeCell ref="Y27:Z27"/>
    <mergeCell ref="AA27:AB27"/>
    <mergeCell ref="B28:AB28"/>
    <mergeCell ref="B29:E29"/>
    <mergeCell ref="F29:J29"/>
    <mergeCell ref="K29:N29"/>
    <mergeCell ref="O29:W29"/>
    <mergeCell ref="X29:AB29"/>
    <mergeCell ref="B34:H34"/>
    <mergeCell ref="I34:M35"/>
    <mergeCell ref="N34:P35"/>
    <mergeCell ref="Q34:V35"/>
    <mergeCell ref="W34:Z35"/>
    <mergeCell ref="AA34:AB35"/>
    <mergeCell ref="B35:H35"/>
    <mergeCell ref="B32:AB32"/>
    <mergeCell ref="B33:H33"/>
    <mergeCell ref="I33:M33"/>
    <mergeCell ref="N33:P33"/>
    <mergeCell ref="Q33:V33"/>
    <mergeCell ref="W33:Z33"/>
    <mergeCell ref="AA33:AB33"/>
    <mergeCell ref="AA36:AB36"/>
    <mergeCell ref="C37:F37"/>
    <mergeCell ref="G37:H37"/>
    <mergeCell ref="I37:M37"/>
    <mergeCell ref="N37:P37"/>
    <mergeCell ref="Q37:V37"/>
    <mergeCell ref="W37:Z37"/>
    <mergeCell ref="AA37:AB37"/>
    <mergeCell ref="C36:F36"/>
    <mergeCell ref="G36:H36"/>
    <mergeCell ref="I36:M36"/>
    <mergeCell ref="N36:P36"/>
    <mergeCell ref="Q36:V36"/>
    <mergeCell ref="W36:Z36"/>
    <mergeCell ref="AA38:AB38"/>
    <mergeCell ref="B39:H39"/>
    <mergeCell ref="I39:AB40"/>
    <mergeCell ref="B40:H40"/>
    <mergeCell ref="B41:H41"/>
    <mergeCell ref="I41:AB42"/>
    <mergeCell ref="B42:H42"/>
    <mergeCell ref="C38:F38"/>
    <mergeCell ref="G38:H38"/>
    <mergeCell ref="I38:M38"/>
    <mergeCell ref="N38:P38"/>
    <mergeCell ref="Q38:V38"/>
    <mergeCell ref="W38:Z38"/>
    <mergeCell ref="B47:AB47"/>
    <mergeCell ref="B48:AB48"/>
    <mergeCell ref="B49:AB49"/>
    <mergeCell ref="B50:AB50"/>
    <mergeCell ref="B43:H43"/>
    <mergeCell ref="I43:AB43"/>
    <mergeCell ref="B44:H44"/>
    <mergeCell ref="I44:AB44"/>
    <mergeCell ref="B45:AB45"/>
    <mergeCell ref="B46:AB46"/>
  </mergeCells>
  <phoneticPr fontId="8" type="noConversion"/>
  <pageMargins left="0.7" right="0.7" top="0.75" bottom="0.75" header="0.3" footer="0.3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822E-6606-42F6-929F-B83BCB30353F}">
  <dimension ref="A1:AB50"/>
  <sheetViews>
    <sheetView tabSelected="1" view="pageBreakPreview" zoomScale="60" zoomScaleNormal="100" workbookViewId="0">
      <selection activeCell="B19" sqref="B19:D26"/>
    </sheetView>
  </sheetViews>
  <sheetFormatPr defaultRowHeight="19.5" customHeight="1"/>
  <cols>
    <col min="2" max="2" width="8.125" customWidth="1"/>
    <col min="3" max="6" width="2.5" customWidth="1"/>
    <col min="7" max="11" width="3.625" customWidth="1"/>
    <col min="12" max="21" width="3.875" customWidth="1"/>
    <col min="22" max="25" width="2.875" customWidth="1"/>
    <col min="26" max="27" width="5" customWidth="1"/>
    <col min="28" max="28" width="3.875" customWidth="1"/>
  </cols>
  <sheetData>
    <row r="1" spans="1:28" ht="19.5" customHeight="1">
      <c r="A1" s="1"/>
    </row>
    <row r="2" spans="1:28" ht="19.5" customHeight="1">
      <c r="B2" s="123" t="s">
        <v>0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4" t="s">
        <v>1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</row>
    <row r="3" spans="1:28" ht="19.5" customHeight="1">
      <c r="B3" s="125" t="s">
        <v>2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6"/>
      <c r="P3" s="127" t="s">
        <v>3</v>
      </c>
      <c r="Q3" s="128"/>
      <c r="R3" s="129"/>
      <c r="S3" s="127" t="s">
        <v>4</v>
      </c>
      <c r="T3" s="128"/>
      <c r="U3" s="129"/>
      <c r="V3" s="127" t="s">
        <v>5</v>
      </c>
      <c r="W3" s="128"/>
      <c r="X3" s="128"/>
      <c r="Y3" s="129"/>
      <c r="Z3" s="127" t="s">
        <v>6</v>
      </c>
      <c r="AA3" s="129"/>
      <c r="AB3" s="2" t="s">
        <v>7</v>
      </c>
    </row>
    <row r="4" spans="1:28" ht="19.5" customHeight="1"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6"/>
      <c r="P4" s="119"/>
      <c r="Q4" s="122"/>
      <c r="R4" s="120"/>
      <c r="S4" s="130"/>
      <c r="T4" s="131"/>
      <c r="U4" s="132"/>
      <c r="V4" s="130"/>
      <c r="W4" s="131"/>
      <c r="X4" s="131"/>
      <c r="Y4" s="132"/>
      <c r="Z4" s="119"/>
      <c r="AA4" s="120"/>
      <c r="AB4" s="3" t="s">
        <v>8</v>
      </c>
    </row>
    <row r="5" spans="1:28" ht="19.5" customHeight="1"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</row>
    <row r="6" spans="1:28" ht="19.5" customHeight="1">
      <c r="B6" s="54" t="s">
        <v>9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6"/>
    </row>
    <row r="7" spans="1:28" ht="19.5" customHeight="1">
      <c r="B7" s="58" t="s">
        <v>10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</row>
    <row r="8" spans="1:28" ht="19.5" customHeight="1">
      <c r="B8" s="54" t="s">
        <v>11</v>
      </c>
      <c r="C8" s="56"/>
      <c r="D8" s="54" t="s">
        <v>12</v>
      </c>
      <c r="E8" s="55"/>
      <c r="F8" s="55"/>
      <c r="G8" s="55"/>
      <c r="H8" s="55"/>
      <c r="I8" s="55"/>
      <c r="J8" s="55"/>
      <c r="K8" s="56"/>
      <c r="L8" s="54" t="s">
        <v>13</v>
      </c>
      <c r="M8" s="55"/>
      <c r="N8" s="55"/>
      <c r="O8" s="55"/>
      <c r="P8" s="55"/>
      <c r="Q8" s="55"/>
      <c r="R8" s="55"/>
      <c r="S8" s="56"/>
      <c r="T8" s="54" t="s">
        <v>14</v>
      </c>
      <c r="U8" s="55"/>
      <c r="V8" s="55"/>
      <c r="W8" s="55"/>
      <c r="X8" s="55"/>
      <c r="Y8" s="55"/>
      <c r="Z8" s="55"/>
      <c r="AA8" s="55"/>
      <c r="AB8" s="56"/>
    </row>
    <row r="9" spans="1:28" ht="19.5" customHeight="1">
      <c r="B9" s="85">
        <v>1</v>
      </c>
      <c r="C9" s="87"/>
      <c r="D9" s="85" t="s">
        <v>95</v>
      </c>
      <c r="E9" s="86"/>
      <c r="F9" s="86"/>
      <c r="G9" s="86"/>
      <c r="H9" s="86"/>
      <c r="I9" s="86"/>
      <c r="J9" s="86"/>
      <c r="K9" s="87"/>
      <c r="L9" s="85" t="s">
        <v>98</v>
      </c>
      <c r="M9" s="86"/>
      <c r="N9" s="86"/>
      <c r="O9" s="86"/>
      <c r="P9" s="86"/>
      <c r="Q9" s="86"/>
      <c r="R9" s="86"/>
      <c r="S9" s="87"/>
      <c r="T9" s="85" t="s">
        <v>16</v>
      </c>
      <c r="U9" s="86"/>
      <c r="V9" s="86"/>
      <c r="W9" s="86"/>
      <c r="X9" s="86"/>
      <c r="Y9" s="86"/>
      <c r="Z9" s="86"/>
      <c r="AA9" s="86"/>
      <c r="AB9" s="87"/>
    </row>
    <row r="10" spans="1:28" ht="19.5" customHeight="1">
      <c r="B10" s="85">
        <v>2</v>
      </c>
      <c r="C10" s="87"/>
      <c r="D10" s="85" t="s">
        <v>96</v>
      </c>
      <c r="E10" s="86"/>
      <c r="F10" s="86"/>
      <c r="G10" s="86"/>
      <c r="H10" s="86"/>
      <c r="I10" s="86"/>
      <c r="J10" s="86"/>
      <c r="K10" s="87"/>
      <c r="L10" s="85" t="s">
        <v>98</v>
      </c>
      <c r="M10" s="86"/>
      <c r="N10" s="86"/>
      <c r="O10" s="86"/>
      <c r="P10" s="86"/>
      <c r="Q10" s="86"/>
      <c r="R10" s="86"/>
      <c r="S10" s="87"/>
      <c r="T10" s="85" t="s">
        <v>16</v>
      </c>
      <c r="U10" s="86"/>
      <c r="V10" s="86"/>
      <c r="W10" s="86"/>
      <c r="X10" s="86"/>
      <c r="Y10" s="86"/>
      <c r="Z10" s="86"/>
      <c r="AA10" s="86"/>
      <c r="AB10" s="87"/>
    </row>
    <row r="11" spans="1:28" ht="19.5" customHeight="1">
      <c r="B11" s="85">
        <v>3</v>
      </c>
      <c r="C11" s="87"/>
      <c r="D11" s="85" t="s">
        <v>97</v>
      </c>
      <c r="E11" s="86"/>
      <c r="F11" s="86"/>
      <c r="G11" s="86"/>
      <c r="H11" s="86"/>
      <c r="I11" s="86"/>
      <c r="J11" s="86"/>
      <c r="K11" s="87"/>
      <c r="L11" s="85" t="s">
        <v>98</v>
      </c>
      <c r="M11" s="86"/>
      <c r="N11" s="86"/>
      <c r="O11" s="86"/>
      <c r="P11" s="86"/>
      <c r="Q11" s="86"/>
      <c r="R11" s="86"/>
      <c r="S11" s="87"/>
      <c r="T11" s="85" t="s">
        <v>16</v>
      </c>
      <c r="U11" s="86"/>
      <c r="V11" s="86"/>
      <c r="W11" s="86"/>
      <c r="X11" s="86"/>
      <c r="Y11" s="86"/>
      <c r="Z11" s="86"/>
      <c r="AA11" s="86"/>
      <c r="AB11" s="87"/>
    </row>
    <row r="12" spans="1:28" ht="19.5" customHeight="1">
      <c r="B12" s="85">
        <v>4</v>
      </c>
      <c r="C12" s="87"/>
      <c r="D12" s="85"/>
      <c r="E12" s="86"/>
      <c r="F12" s="86"/>
      <c r="G12" s="86"/>
      <c r="H12" s="86"/>
      <c r="I12" s="86"/>
      <c r="J12" s="86"/>
      <c r="K12" s="87"/>
      <c r="L12" s="85"/>
      <c r="M12" s="86"/>
      <c r="N12" s="86"/>
      <c r="O12" s="86"/>
      <c r="P12" s="86"/>
      <c r="Q12" s="86"/>
      <c r="R12" s="86"/>
      <c r="S12" s="87"/>
      <c r="T12" s="85"/>
      <c r="U12" s="86"/>
      <c r="V12" s="86"/>
      <c r="W12" s="86"/>
      <c r="X12" s="86"/>
      <c r="Y12" s="86"/>
      <c r="Z12" s="86"/>
      <c r="AA12" s="86"/>
      <c r="AB12" s="87"/>
    </row>
    <row r="13" spans="1:28" ht="19.5" customHeight="1">
      <c r="B13" s="88"/>
      <c r="C13" s="89"/>
      <c r="D13" s="88"/>
      <c r="E13" s="90"/>
      <c r="F13" s="90"/>
      <c r="G13" s="90"/>
      <c r="H13" s="90"/>
      <c r="I13" s="90"/>
      <c r="J13" s="90"/>
      <c r="K13" s="89"/>
      <c r="L13" s="88"/>
      <c r="M13" s="90"/>
      <c r="N13" s="90"/>
      <c r="O13" s="90"/>
      <c r="P13" s="90"/>
      <c r="Q13" s="90"/>
      <c r="R13" s="90"/>
      <c r="S13" s="89"/>
      <c r="T13" s="88"/>
      <c r="U13" s="90"/>
      <c r="V13" s="90"/>
      <c r="W13" s="90"/>
      <c r="X13" s="90"/>
      <c r="Y13" s="90"/>
      <c r="Z13" s="90"/>
      <c r="AA13" s="90"/>
      <c r="AB13" s="89"/>
    </row>
    <row r="14" spans="1:28" ht="19.5" customHeight="1">
      <c r="B14" s="65" t="s">
        <v>19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</row>
    <row r="15" spans="1:28" ht="19.5" customHeight="1">
      <c r="B15" s="118" t="s">
        <v>20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 spans="1:28" ht="19.5" customHeight="1">
      <c r="B16" s="68" t="s">
        <v>21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</row>
    <row r="17" spans="2:28" ht="19.5" customHeight="1">
      <c r="B17" s="61" t="s">
        <v>22</v>
      </c>
      <c r="C17" s="62"/>
      <c r="D17" s="63"/>
      <c r="E17" s="61" t="s">
        <v>24</v>
      </c>
      <c r="F17" s="62"/>
      <c r="G17" s="63"/>
      <c r="H17" s="61" t="s">
        <v>26</v>
      </c>
      <c r="I17" s="63"/>
      <c r="J17" s="61" t="s">
        <v>28</v>
      </c>
      <c r="K17" s="62"/>
      <c r="L17" s="63"/>
      <c r="M17" s="61" t="s">
        <v>30</v>
      </c>
      <c r="N17" s="62"/>
      <c r="O17" s="62"/>
      <c r="P17" s="62"/>
      <c r="Q17" s="63"/>
      <c r="R17" s="61" t="s">
        <v>32</v>
      </c>
      <c r="S17" s="62"/>
      <c r="T17" s="63"/>
      <c r="U17" s="61" t="s">
        <v>34</v>
      </c>
      <c r="V17" s="62"/>
      <c r="W17" s="62"/>
      <c r="X17" s="63"/>
      <c r="Y17" s="54" t="s">
        <v>36</v>
      </c>
      <c r="Z17" s="55"/>
      <c r="AA17" s="55"/>
      <c r="AB17" s="56"/>
    </row>
    <row r="18" spans="2:28" ht="19.5" customHeight="1">
      <c r="B18" s="70" t="s">
        <v>23</v>
      </c>
      <c r="C18" s="71"/>
      <c r="D18" s="72"/>
      <c r="E18" s="70" t="s">
        <v>25</v>
      </c>
      <c r="F18" s="71"/>
      <c r="G18" s="72"/>
      <c r="H18" s="70" t="s">
        <v>27</v>
      </c>
      <c r="I18" s="72"/>
      <c r="J18" s="70" t="s">
        <v>29</v>
      </c>
      <c r="K18" s="71"/>
      <c r="L18" s="72"/>
      <c r="M18" s="70" t="s">
        <v>31</v>
      </c>
      <c r="N18" s="71"/>
      <c r="O18" s="71"/>
      <c r="P18" s="71"/>
      <c r="Q18" s="72"/>
      <c r="R18" s="70" t="s">
        <v>33</v>
      </c>
      <c r="S18" s="71"/>
      <c r="T18" s="72"/>
      <c r="U18" s="70" t="s">
        <v>35</v>
      </c>
      <c r="V18" s="71"/>
      <c r="W18" s="71"/>
      <c r="X18" s="72"/>
      <c r="Y18" s="54" t="s">
        <v>37</v>
      </c>
      <c r="Z18" s="56"/>
      <c r="AA18" s="54" t="s">
        <v>38</v>
      </c>
      <c r="AB18" s="56"/>
    </row>
    <row r="19" spans="2:28" ht="19.5" customHeight="1">
      <c r="B19" s="91" t="s">
        <v>163</v>
      </c>
      <c r="C19" s="92"/>
      <c r="D19" s="93"/>
      <c r="E19" s="91" t="s">
        <v>39</v>
      </c>
      <c r="F19" s="92"/>
      <c r="G19" s="93"/>
      <c r="H19" s="79"/>
      <c r="I19" s="81"/>
      <c r="J19" s="79"/>
      <c r="K19" s="80"/>
      <c r="L19" s="81"/>
      <c r="M19" s="102"/>
      <c r="N19" s="103"/>
      <c r="O19" s="103"/>
      <c r="P19" s="103"/>
      <c r="Q19" s="104"/>
      <c r="R19" s="102"/>
      <c r="S19" s="103"/>
      <c r="T19" s="104"/>
      <c r="U19" s="102"/>
      <c r="V19" s="103"/>
      <c r="W19" s="103"/>
      <c r="X19" s="104"/>
      <c r="Y19" s="107"/>
      <c r="Z19" s="108"/>
      <c r="AA19" s="107"/>
      <c r="AB19" s="108"/>
    </row>
    <row r="20" spans="2:28" ht="19.5" customHeight="1">
      <c r="B20" s="112"/>
      <c r="C20" s="113"/>
      <c r="D20" s="114"/>
      <c r="E20" s="112"/>
      <c r="F20" s="113"/>
      <c r="G20" s="114"/>
      <c r="H20" s="115"/>
      <c r="I20" s="116"/>
      <c r="J20" s="115"/>
      <c r="K20" s="117"/>
      <c r="L20" s="116"/>
      <c r="M20" s="109"/>
      <c r="N20" s="110"/>
      <c r="O20" s="110"/>
      <c r="P20" s="110"/>
      <c r="Q20" s="111"/>
      <c r="R20" s="109"/>
      <c r="S20" s="110"/>
      <c r="T20" s="111"/>
      <c r="U20" s="109"/>
      <c r="V20" s="110"/>
      <c r="W20" s="110"/>
      <c r="X20" s="111"/>
      <c r="Y20" s="105"/>
      <c r="Z20" s="106"/>
      <c r="AA20" s="105"/>
      <c r="AB20" s="106"/>
    </row>
    <row r="21" spans="2:28" ht="19.5" customHeight="1">
      <c r="B21" s="112"/>
      <c r="C21" s="113"/>
      <c r="D21" s="114"/>
      <c r="E21" s="112"/>
      <c r="F21" s="113"/>
      <c r="G21" s="114"/>
      <c r="H21" s="115"/>
      <c r="I21" s="116"/>
      <c r="J21" s="115"/>
      <c r="K21" s="117"/>
      <c r="L21" s="116"/>
      <c r="M21" s="109"/>
      <c r="N21" s="110"/>
      <c r="O21" s="110"/>
      <c r="P21" s="110"/>
      <c r="Q21" s="111"/>
      <c r="R21" s="109"/>
      <c r="S21" s="110"/>
      <c r="T21" s="111"/>
      <c r="U21" s="109"/>
      <c r="V21" s="110"/>
      <c r="W21" s="110"/>
      <c r="X21" s="111"/>
      <c r="Y21" s="105"/>
      <c r="Z21" s="106"/>
      <c r="AA21" s="105"/>
      <c r="AB21" s="106"/>
    </row>
    <row r="22" spans="2:28" ht="19.5" customHeight="1">
      <c r="B22" s="94"/>
      <c r="C22" s="95"/>
      <c r="D22" s="96"/>
      <c r="E22" s="94"/>
      <c r="F22" s="95"/>
      <c r="G22" s="96"/>
      <c r="H22" s="82"/>
      <c r="I22" s="84"/>
      <c r="J22" s="82"/>
      <c r="K22" s="83"/>
      <c r="L22" s="84"/>
      <c r="M22" s="97"/>
      <c r="N22" s="98"/>
      <c r="O22" s="98"/>
      <c r="P22" s="98"/>
      <c r="Q22" s="99"/>
      <c r="R22" s="97"/>
      <c r="S22" s="98"/>
      <c r="T22" s="99"/>
      <c r="U22" s="97"/>
      <c r="V22" s="98"/>
      <c r="W22" s="98"/>
      <c r="X22" s="99"/>
      <c r="Y22" s="100"/>
      <c r="Z22" s="101"/>
      <c r="AA22" s="100"/>
      <c r="AB22" s="101"/>
    </row>
    <row r="23" spans="2:28" ht="19.5" customHeight="1">
      <c r="B23" s="91" t="s">
        <v>90</v>
      </c>
      <c r="C23" s="92"/>
      <c r="D23" s="93"/>
      <c r="E23" s="91" t="s">
        <v>39</v>
      </c>
      <c r="F23" s="92"/>
      <c r="G23" s="93"/>
      <c r="H23" s="79"/>
      <c r="I23" s="81"/>
      <c r="J23" s="79"/>
      <c r="K23" s="80"/>
      <c r="L23" s="81"/>
      <c r="M23" s="102"/>
      <c r="N23" s="103"/>
      <c r="O23" s="103"/>
      <c r="P23" s="103"/>
      <c r="Q23" s="104"/>
      <c r="R23" s="102"/>
      <c r="S23" s="103"/>
      <c r="T23" s="104"/>
      <c r="U23" s="102"/>
      <c r="V23" s="103"/>
      <c r="W23" s="103"/>
      <c r="X23" s="104"/>
      <c r="Y23" s="107"/>
      <c r="Z23" s="108"/>
      <c r="AA23" s="107"/>
      <c r="AB23" s="108"/>
    </row>
    <row r="24" spans="2:28" ht="19.5" customHeight="1">
      <c r="B24" s="94"/>
      <c r="C24" s="95"/>
      <c r="D24" s="96"/>
      <c r="E24" s="94"/>
      <c r="F24" s="95"/>
      <c r="G24" s="96"/>
      <c r="H24" s="82"/>
      <c r="I24" s="84"/>
      <c r="J24" s="82"/>
      <c r="K24" s="83"/>
      <c r="L24" s="84"/>
      <c r="M24" s="97"/>
      <c r="N24" s="98"/>
      <c r="O24" s="98"/>
      <c r="P24" s="98"/>
      <c r="Q24" s="99"/>
      <c r="R24" s="97"/>
      <c r="S24" s="98"/>
      <c r="T24" s="99"/>
      <c r="U24" s="97"/>
      <c r="V24" s="98"/>
      <c r="W24" s="98"/>
      <c r="X24" s="99"/>
      <c r="Y24" s="100"/>
      <c r="Z24" s="101"/>
      <c r="AA24" s="100"/>
      <c r="AB24" s="101"/>
    </row>
    <row r="25" spans="2:28" ht="19.5" customHeight="1">
      <c r="B25" s="91" t="s">
        <v>162</v>
      </c>
      <c r="C25" s="92"/>
      <c r="D25" s="93"/>
      <c r="E25" s="91" t="s">
        <v>39</v>
      </c>
      <c r="F25" s="92"/>
      <c r="G25" s="93"/>
      <c r="H25" s="79"/>
      <c r="I25" s="81"/>
      <c r="J25" s="79"/>
      <c r="K25" s="80"/>
      <c r="L25" s="81"/>
      <c r="M25" s="79"/>
      <c r="N25" s="80"/>
      <c r="O25" s="80"/>
      <c r="P25" s="80"/>
      <c r="Q25" s="81"/>
      <c r="R25" s="79"/>
      <c r="S25" s="80"/>
      <c r="T25" s="81"/>
      <c r="U25" s="79"/>
      <c r="V25" s="80"/>
      <c r="W25" s="80"/>
      <c r="X25" s="81"/>
      <c r="Y25" s="61"/>
      <c r="Z25" s="63"/>
      <c r="AA25" s="61"/>
      <c r="AB25" s="63"/>
    </row>
    <row r="26" spans="2:28" ht="19.5" customHeight="1">
      <c r="B26" s="94"/>
      <c r="C26" s="95"/>
      <c r="D26" s="96"/>
      <c r="E26" s="94"/>
      <c r="F26" s="95"/>
      <c r="G26" s="96"/>
      <c r="H26" s="82"/>
      <c r="I26" s="84"/>
      <c r="J26" s="82"/>
      <c r="K26" s="83"/>
      <c r="L26" s="84"/>
      <c r="M26" s="82"/>
      <c r="N26" s="83"/>
      <c r="O26" s="83"/>
      <c r="P26" s="83"/>
      <c r="Q26" s="84"/>
      <c r="R26" s="82"/>
      <c r="S26" s="83"/>
      <c r="T26" s="84"/>
      <c r="U26" s="82"/>
      <c r="V26" s="83"/>
      <c r="W26" s="83"/>
      <c r="X26" s="84"/>
      <c r="Y26" s="70"/>
      <c r="Z26" s="72"/>
      <c r="AA26" s="70"/>
      <c r="AB26" s="72"/>
    </row>
    <row r="27" spans="2:28" ht="19.5" customHeight="1">
      <c r="B27" s="85"/>
      <c r="C27" s="86"/>
      <c r="D27" s="87"/>
      <c r="E27" s="85"/>
      <c r="F27" s="86"/>
      <c r="G27" s="87"/>
      <c r="H27" s="88"/>
      <c r="I27" s="89"/>
      <c r="J27" s="88"/>
      <c r="K27" s="90"/>
      <c r="L27" s="89"/>
      <c r="M27" s="88"/>
      <c r="N27" s="90"/>
      <c r="O27" s="90"/>
      <c r="P27" s="90"/>
      <c r="Q27" s="89"/>
      <c r="R27" s="88"/>
      <c r="S27" s="90"/>
      <c r="T27" s="89"/>
      <c r="U27" s="88"/>
      <c r="V27" s="90"/>
      <c r="W27" s="90"/>
      <c r="X27" s="89"/>
      <c r="Y27" s="54"/>
      <c r="Z27" s="56"/>
      <c r="AA27" s="54"/>
      <c r="AB27" s="56"/>
    </row>
    <row r="28" spans="2:28" ht="19.5" customHeight="1">
      <c r="B28" s="58" t="s">
        <v>40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</row>
    <row r="29" spans="2:28" ht="19.5" customHeight="1">
      <c r="B29" s="54" t="s">
        <v>41</v>
      </c>
      <c r="C29" s="55"/>
      <c r="D29" s="55"/>
      <c r="E29" s="56"/>
      <c r="F29" s="54" t="s">
        <v>42</v>
      </c>
      <c r="G29" s="55"/>
      <c r="H29" s="55"/>
      <c r="I29" s="55"/>
      <c r="J29" s="56"/>
      <c r="K29" s="54" t="s">
        <v>43</v>
      </c>
      <c r="L29" s="55"/>
      <c r="M29" s="55"/>
      <c r="N29" s="56"/>
      <c r="O29" s="54" t="s">
        <v>44</v>
      </c>
      <c r="P29" s="55"/>
      <c r="Q29" s="55"/>
      <c r="R29" s="55"/>
      <c r="S29" s="55"/>
      <c r="T29" s="55"/>
      <c r="U29" s="55"/>
      <c r="V29" s="55"/>
      <c r="W29" s="56"/>
      <c r="X29" s="54" t="s">
        <v>45</v>
      </c>
      <c r="Y29" s="55"/>
      <c r="Z29" s="55"/>
      <c r="AA29" s="55"/>
      <c r="AB29" s="56"/>
    </row>
    <row r="30" spans="2:28" ht="19.5" customHeight="1">
      <c r="B30" s="54" t="s">
        <v>46</v>
      </c>
      <c r="C30" s="55"/>
      <c r="D30" s="55"/>
      <c r="E30" s="56"/>
      <c r="F30" s="54"/>
      <c r="G30" s="55"/>
      <c r="H30" s="55"/>
      <c r="I30" s="55"/>
      <c r="J30" s="56"/>
      <c r="K30" s="54" t="s">
        <v>47</v>
      </c>
      <c r="L30" s="55"/>
      <c r="M30" s="55"/>
      <c r="N30" s="56"/>
      <c r="O30" s="54"/>
      <c r="P30" s="55"/>
      <c r="Q30" s="55"/>
      <c r="R30" s="55"/>
      <c r="S30" s="55"/>
      <c r="T30" s="55"/>
      <c r="U30" s="55"/>
      <c r="V30" s="55"/>
      <c r="W30" s="56"/>
      <c r="X30" s="57"/>
      <c r="Y30" s="58"/>
      <c r="Z30" s="58"/>
      <c r="AA30" s="58"/>
      <c r="AB30" s="59"/>
    </row>
    <row r="31" spans="2:28" ht="19.5" customHeight="1">
      <c r="B31" s="58" t="s">
        <v>48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</row>
    <row r="32" spans="2:28" ht="19.5" customHeight="1">
      <c r="B32" s="57" t="s">
        <v>49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9"/>
    </row>
    <row r="33" spans="2:28" ht="19.5" customHeight="1">
      <c r="B33" s="54" t="s">
        <v>50</v>
      </c>
      <c r="C33" s="55"/>
      <c r="D33" s="55"/>
      <c r="E33" s="55"/>
      <c r="F33" s="55"/>
      <c r="G33" s="55"/>
      <c r="H33" s="56"/>
      <c r="I33" s="54" t="s">
        <v>51</v>
      </c>
      <c r="J33" s="55"/>
      <c r="K33" s="55"/>
      <c r="L33" s="55"/>
      <c r="M33" s="56"/>
      <c r="N33" s="54" t="s">
        <v>52</v>
      </c>
      <c r="O33" s="55"/>
      <c r="P33" s="56"/>
      <c r="Q33" s="54" t="s">
        <v>53</v>
      </c>
      <c r="R33" s="55"/>
      <c r="S33" s="55"/>
      <c r="T33" s="55"/>
      <c r="U33" s="55"/>
      <c r="V33" s="56"/>
      <c r="W33" s="54" t="s">
        <v>54</v>
      </c>
      <c r="X33" s="55"/>
      <c r="Y33" s="55"/>
      <c r="Z33" s="56"/>
      <c r="AA33" s="54" t="s">
        <v>55</v>
      </c>
      <c r="AB33" s="56"/>
    </row>
    <row r="34" spans="2:28" ht="19.5" customHeight="1">
      <c r="B34" s="64" t="s">
        <v>56</v>
      </c>
      <c r="C34" s="65"/>
      <c r="D34" s="65"/>
      <c r="E34" s="65"/>
      <c r="F34" s="65"/>
      <c r="G34" s="65"/>
      <c r="H34" s="66"/>
      <c r="I34" s="73" t="s">
        <v>58</v>
      </c>
      <c r="J34" s="74"/>
      <c r="K34" s="74"/>
      <c r="L34" s="74"/>
      <c r="M34" s="75"/>
      <c r="N34" s="73" t="s">
        <v>59</v>
      </c>
      <c r="O34" s="74"/>
      <c r="P34" s="75"/>
      <c r="Q34" s="73" t="s">
        <v>60</v>
      </c>
      <c r="R34" s="74"/>
      <c r="S34" s="74"/>
      <c r="T34" s="74"/>
      <c r="U34" s="74"/>
      <c r="V34" s="75"/>
      <c r="W34" s="73" t="s">
        <v>61</v>
      </c>
      <c r="X34" s="74"/>
      <c r="Y34" s="74"/>
      <c r="Z34" s="75"/>
      <c r="AA34" s="73" t="s">
        <v>62</v>
      </c>
      <c r="AB34" s="75"/>
    </row>
    <row r="35" spans="2:28" ht="19.5" customHeight="1">
      <c r="B35" s="67" t="s">
        <v>57</v>
      </c>
      <c r="C35" s="68"/>
      <c r="D35" s="68"/>
      <c r="E35" s="68"/>
      <c r="F35" s="68"/>
      <c r="G35" s="68"/>
      <c r="H35" s="69"/>
      <c r="I35" s="76"/>
      <c r="J35" s="77"/>
      <c r="K35" s="77"/>
      <c r="L35" s="77"/>
      <c r="M35" s="78"/>
      <c r="N35" s="76"/>
      <c r="O35" s="77"/>
      <c r="P35" s="78"/>
      <c r="Q35" s="76"/>
      <c r="R35" s="77"/>
      <c r="S35" s="77"/>
      <c r="T35" s="77"/>
      <c r="U35" s="77"/>
      <c r="V35" s="78"/>
      <c r="W35" s="76"/>
      <c r="X35" s="77"/>
      <c r="Y35" s="77"/>
      <c r="Z35" s="78"/>
      <c r="AA35" s="76"/>
      <c r="AB35" s="78"/>
    </row>
    <row r="36" spans="2:28" ht="19.5" customHeight="1">
      <c r="B36" s="4" t="s">
        <v>63</v>
      </c>
      <c r="C36" s="61" t="s">
        <v>65</v>
      </c>
      <c r="D36" s="62"/>
      <c r="E36" s="62"/>
      <c r="F36" s="63"/>
      <c r="G36" s="61" t="s">
        <v>66</v>
      </c>
      <c r="H36" s="63"/>
      <c r="I36" s="61" t="s">
        <v>68</v>
      </c>
      <c r="J36" s="62"/>
      <c r="K36" s="62"/>
      <c r="L36" s="62"/>
      <c r="M36" s="63"/>
      <c r="N36" s="61" t="s">
        <v>70</v>
      </c>
      <c r="O36" s="62"/>
      <c r="P36" s="63"/>
      <c r="Q36" s="61" t="s">
        <v>72</v>
      </c>
      <c r="R36" s="62"/>
      <c r="S36" s="62"/>
      <c r="T36" s="62"/>
      <c r="U36" s="62"/>
      <c r="V36" s="63"/>
      <c r="W36" s="61" t="s">
        <v>74</v>
      </c>
      <c r="X36" s="62"/>
      <c r="Y36" s="62"/>
      <c r="Z36" s="63"/>
      <c r="AA36" s="61" t="s">
        <v>76</v>
      </c>
      <c r="AB36" s="63"/>
    </row>
    <row r="37" spans="2:28" ht="19.5" customHeight="1">
      <c r="B37" s="5" t="s">
        <v>64</v>
      </c>
      <c r="C37" s="70" t="s">
        <v>23</v>
      </c>
      <c r="D37" s="71"/>
      <c r="E37" s="71"/>
      <c r="F37" s="72"/>
      <c r="G37" s="70" t="s">
        <v>67</v>
      </c>
      <c r="H37" s="72"/>
      <c r="I37" s="70" t="s">
        <v>69</v>
      </c>
      <c r="J37" s="71"/>
      <c r="K37" s="71"/>
      <c r="L37" s="71"/>
      <c r="M37" s="72"/>
      <c r="N37" s="70" t="s">
        <v>71</v>
      </c>
      <c r="O37" s="71"/>
      <c r="P37" s="72"/>
      <c r="Q37" s="70" t="s">
        <v>73</v>
      </c>
      <c r="R37" s="71"/>
      <c r="S37" s="71"/>
      <c r="T37" s="71"/>
      <c r="U37" s="71"/>
      <c r="V37" s="72"/>
      <c r="W37" s="70" t="s">
        <v>75</v>
      </c>
      <c r="X37" s="71"/>
      <c r="Y37" s="71"/>
      <c r="Z37" s="72"/>
      <c r="AA37" s="70" t="s">
        <v>77</v>
      </c>
      <c r="AB37" s="72"/>
    </row>
    <row r="38" spans="2:28" ht="19.5" customHeight="1">
      <c r="B38" s="6"/>
      <c r="C38" s="57"/>
      <c r="D38" s="58"/>
      <c r="E38" s="58"/>
      <c r="F38" s="59"/>
      <c r="G38" s="57"/>
      <c r="H38" s="59"/>
      <c r="I38" s="57"/>
      <c r="J38" s="58"/>
      <c r="K38" s="58"/>
      <c r="L38" s="58"/>
      <c r="M38" s="59"/>
      <c r="N38" s="57"/>
      <c r="O38" s="58"/>
      <c r="P38" s="59"/>
      <c r="Q38" s="57"/>
      <c r="R38" s="58"/>
      <c r="S38" s="58"/>
      <c r="T38" s="58"/>
      <c r="U38" s="58"/>
      <c r="V38" s="59"/>
      <c r="W38" s="57"/>
      <c r="X38" s="58"/>
      <c r="Y38" s="58"/>
      <c r="Z38" s="59"/>
      <c r="AA38" s="57"/>
      <c r="AB38" s="59"/>
    </row>
    <row r="39" spans="2:28" ht="19.5" customHeight="1">
      <c r="B39" s="61" t="s">
        <v>78</v>
      </c>
      <c r="C39" s="62"/>
      <c r="D39" s="62"/>
      <c r="E39" s="62"/>
      <c r="F39" s="62"/>
      <c r="G39" s="62"/>
      <c r="H39" s="63"/>
      <c r="I39" s="64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6"/>
    </row>
    <row r="40" spans="2:28" ht="19.5" customHeight="1">
      <c r="B40" s="70" t="s">
        <v>79</v>
      </c>
      <c r="C40" s="71"/>
      <c r="D40" s="71"/>
      <c r="E40" s="71"/>
      <c r="F40" s="71"/>
      <c r="G40" s="71"/>
      <c r="H40" s="72"/>
      <c r="I40" s="67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9"/>
    </row>
    <row r="41" spans="2:28" ht="19.5" customHeight="1">
      <c r="B41" s="61" t="s">
        <v>80</v>
      </c>
      <c r="C41" s="62"/>
      <c r="D41" s="62"/>
      <c r="E41" s="62"/>
      <c r="F41" s="62"/>
      <c r="G41" s="62"/>
      <c r="H41" s="63"/>
      <c r="I41" s="64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6"/>
    </row>
    <row r="42" spans="2:28" ht="19.5" customHeight="1">
      <c r="B42" s="70" t="s">
        <v>81</v>
      </c>
      <c r="C42" s="71"/>
      <c r="D42" s="71"/>
      <c r="E42" s="71"/>
      <c r="F42" s="71"/>
      <c r="G42" s="71"/>
      <c r="H42" s="72"/>
      <c r="I42" s="67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9"/>
    </row>
    <row r="43" spans="2:28" ht="19.5" customHeight="1">
      <c r="B43" s="54" t="s">
        <v>82</v>
      </c>
      <c r="C43" s="55"/>
      <c r="D43" s="55"/>
      <c r="E43" s="55"/>
      <c r="F43" s="55"/>
      <c r="G43" s="55"/>
      <c r="H43" s="56"/>
      <c r="I43" s="57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9"/>
    </row>
    <row r="44" spans="2:28" ht="19.5" customHeight="1">
      <c r="B44" s="54" t="s">
        <v>83</v>
      </c>
      <c r="C44" s="55"/>
      <c r="D44" s="55"/>
      <c r="E44" s="55"/>
      <c r="F44" s="55"/>
      <c r="G44" s="55"/>
      <c r="H44" s="56"/>
      <c r="I44" s="57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9"/>
    </row>
    <row r="45" spans="2:28" ht="19.5" customHeight="1">
      <c r="B45" s="57" t="s">
        <v>99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9"/>
    </row>
    <row r="46" spans="2:28" ht="19.5" customHeight="1">
      <c r="B46" s="60" t="s">
        <v>85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</row>
    <row r="47" spans="2:28" ht="19.5" customHeight="1">
      <c r="B47" s="53" t="s">
        <v>86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 spans="2:28" ht="19.5" customHeight="1">
      <c r="B48" s="53" t="s">
        <v>87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 spans="2:28" ht="19.5" customHeight="1">
      <c r="B49" s="53" t="s">
        <v>88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 spans="2:28" ht="19.5" customHeight="1">
      <c r="B50" s="53" t="s">
        <v>89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</sheetData>
  <mergeCells count="178">
    <mergeCell ref="B2:O2"/>
    <mergeCell ref="P2:AB2"/>
    <mergeCell ref="B3:O4"/>
    <mergeCell ref="P3:R3"/>
    <mergeCell ref="S3:U3"/>
    <mergeCell ref="V3:Y3"/>
    <mergeCell ref="Z3:AA3"/>
    <mergeCell ref="P4:R4"/>
    <mergeCell ref="S4:U4"/>
    <mergeCell ref="V4:Y4"/>
    <mergeCell ref="B9:C9"/>
    <mergeCell ref="D9:K9"/>
    <mergeCell ref="L9:S9"/>
    <mergeCell ref="T9:AB9"/>
    <mergeCell ref="B10:C10"/>
    <mergeCell ref="D10:K10"/>
    <mergeCell ref="L10:S10"/>
    <mergeCell ref="T10:AB10"/>
    <mergeCell ref="Z4:AA4"/>
    <mergeCell ref="B5:O5"/>
    <mergeCell ref="P5:AB5"/>
    <mergeCell ref="B6:AB6"/>
    <mergeCell ref="B7:AB7"/>
    <mergeCell ref="B8:C8"/>
    <mergeCell ref="D8:K8"/>
    <mergeCell ref="L8:S8"/>
    <mergeCell ref="T8:AB8"/>
    <mergeCell ref="B13:C13"/>
    <mergeCell ref="D13:K13"/>
    <mergeCell ref="L13:S13"/>
    <mergeCell ref="T13:AB13"/>
    <mergeCell ref="B14:AB14"/>
    <mergeCell ref="B15:AB15"/>
    <mergeCell ref="B11:C11"/>
    <mergeCell ref="D11:K11"/>
    <mergeCell ref="L11:S11"/>
    <mergeCell ref="T11:AB11"/>
    <mergeCell ref="B12:C12"/>
    <mergeCell ref="D12:K12"/>
    <mergeCell ref="L12:S12"/>
    <mergeCell ref="T12:AB12"/>
    <mergeCell ref="B16:AB16"/>
    <mergeCell ref="B17:D17"/>
    <mergeCell ref="E17:G17"/>
    <mergeCell ref="H17:I17"/>
    <mergeCell ref="J17:L17"/>
    <mergeCell ref="M17:Q17"/>
    <mergeCell ref="R17:T17"/>
    <mergeCell ref="U17:X17"/>
    <mergeCell ref="Y17:AB17"/>
    <mergeCell ref="B19:D22"/>
    <mergeCell ref="E19:G22"/>
    <mergeCell ref="H19:I22"/>
    <mergeCell ref="J19:L22"/>
    <mergeCell ref="M19:Q19"/>
    <mergeCell ref="R19:T19"/>
    <mergeCell ref="U19:X19"/>
    <mergeCell ref="B18:D18"/>
    <mergeCell ref="E18:G18"/>
    <mergeCell ref="H18:I18"/>
    <mergeCell ref="J18:L18"/>
    <mergeCell ref="M18:Q18"/>
    <mergeCell ref="R18:T18"/>
    <mergeCell ref="M21:Q21"/>
    <mergeCell ref="R21:T21"/>
    <mergeCell ref="U21:X21"/>
    <mergeCell ref="Y19:Z19"/>
    <mergeCell ref="AA19:AB19"/>
    <mergeCell ref="M20:Q20"/>
    <mergeCell ref="R20:T20"/>
    <mergeCell ref="U20:X20"/>
    <mergeCell ref="Y20:Z20"/>
    <mergeCell ref="AA20:AB20"/>
    <mergeCell ref="U18:X18"/>
    <mergeCell ref="Y18:Z18"/>
    <mergeCell ref="AA18:AB18"/>
    <mergeCell ref="Y21:Z21"/>
    <mergeCell ref="AA21:AB21"/>
    <mergeCell ref="M22:Q22"/>
    <mergeCell ref="R22:T22"/>
    <mergeCell ref="U22:X22"/>
    <mergeCell ref="Y22:Z22"/>
    <mergeCell ref="AA22:AB22"/>
    <mergeCell ref="U23:X23"/>
    <mergeCell ref="Y23:Z23"/>
    <mergeCell ref="AA23:AB23"/>
    <mergeCell ref="M24:Q24"/>
    <mergeCell ref="R24:T24"/>
    <mergeCell ref="U24:X24"/>
    <mergeCell ref="Y24:Z24"/>
    <mergeCell ref="AA24:AB24"/>
    <mergeCell ref="B23:D24"/>
    <mergeCell ref="E23:G24"/>
    <mergeCell ref="H23:I24"/>
    <mergeCell ref="J23:L24"/>
    <mergeCell ref="M23:Q23"/>
    <mergeCell ref="R23:T23"/>
    <mergeCell ref="U25:X26"/>
    <mergeCell ref="Y25:Z26"/>
    <mergeCell ref="AA25:AB26"/>
    <mergeCell ref="B27:D27"/>
    <mergeCell ref="E27:G27"/>
    <mergeCell ref="H27:I27"/>
    <mergeCell ref="J27:L27"/>
    <mergeCell ref="M27:Q27"/>
    <mergeCell ref="R27:T27"/>
    <mergeCell ref="U27:X27"/>
    <mergeCell ref="B25:D26"/>
    <mergeCell ref="E25:G26"/>
    <mergeCell ref="H25:I26"/>
    <mergeCell ref="J25:L26"/>
    <mergeCell ref="M25:Q26"/>
    <mergeCell ref="R25:T26"/>
    <mergeCell ref="B30:E30"/>
    <mergeCell ref="F30:J30"/>
    <mergeCell ref="K30:N30"/>
    <mergeCell ref="O30:W30"/>
    <mergeCell ref="X30:AB30"/>
    <mergeCell ref="B31:AB31"/>
    <mergeCell ref="Y27:Z27"/>
    <mergeCell ref="AA27:AB27"/>
    <mergeCell ref="B28:AB28"/>
    <mergeCell ref="B29:E29"/>
    <mergeCell ref="F29:J29"/>
    <mergeCell ref="K29:N29"/>
    <mergeCell ref="O29:W29"/>
    <mergeCell ref="X29:AB29"/>
    <mergeCell ref="B34:H34"/>
    <mergeCell ref="I34:M35"/>
    <mergeCell ref="N34:P35"/>
    <mergeCell ref="Q34:V35"/>
    <mergeCell ref="W34:Z35"/>
    <mergeCell ref="AA34:AB35"/>
    <mergeCell ref="B35:H35"/>
    <mergeCell ref="B32:AB32"/>
    <mergeCell ref="B33:H33"/>
    <mergeCell ref="I33:M33"/>
    <mergeCell ref="N33:P33"/>
    <mergeCell ref="Q33:V33"/>
    <mergeCell ref="W33:Z33"/>
    <mergeCell ref="AA33:AB33"/>
    <mergeCell ref="AA36:AB36"/>
    <mergeCell ref="C37:F37"/>
    <mergeCell ref="G37:H37"/>
    <mergeCell ref="I37:M37"/>
    <mergeCell ref="N37:P37"/>
    <mergeCell ref="Q37:V37"/>
    <mergeCell ref="W37:Z37"/>
    <mergeCell ref="AA37:AB37"/>
    <mergeCell ref="C36:F36"/>
    <mergeCell ref="G36:H36"/>
    <mergeCell ref="I36:M36"/>
    <mergeCell ref="N36:P36"/>
    <mergeCell ref="Q36:V36"/>
    <mergeCell ref="W36:Z36"/>
    <mergeCell ref="AA38:AB38"/>
    <mergeCell ref="B39:H39"/>
    <mergeCell ref="I39:AB40"/>
    <mergeCell ref="B40:H40"/>
    <mergeCell ref="B41:H41"/>
    <mergeCell ref="I41:AB42"/>
    <mergeCell ref="B42:H42"/>
    <mergeCell ref="C38:F38"/>
    <mergeCell ref="G38:H38"/>
    <mergeCell ref="I38:M38"/>
    <mergeCell ref="N38:P38"/>
    <mergeCell ref="Q38:V38"/>
    <mergeCell ref="W38:Z38"/>
    <mergeCell ref="B47:AB47"/>
    <mergeCell ref="B48:AB48"/>
    <mergeCell ref="B49:AB49"/>
    <mergeCell ref="B50:AB50"/>
    <mergeCell ref="B43:H43"/>
    <mergeCell ref="I43:AB43"/>
    <mergeCell ref="B44:H44"/>
    <mergeCell ref="I44:AB44"/>
    <mergeCell ref="B45:AB45"/>
    <mergeCell ref="B46:AB46"/>
  </mergeCells>
  <phoneticPr fontId="8" type="noConversion"/>
  <pageMargins left="0.7" right="0.7" top="0.75" bottom="0.75" header="0.3" footer="0.3"/>
  <pageSetup paperSize="9"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099D-A745-4F89-9572-D4DD7E584581}">
  <dimension ref="A1:AB50"/>
  <sheetViews>
    <sheetView view="pageBreakPreview" zoomScale="60" zoomScaleNormal="100" workbookViewId="0">
      <selection activeCell="R22" sqref="R22:T22"/>
    </sheetView>
  </sheetViews>
  <sheetFormatPr defaultRowHeight="19.5" customHeight="1"/>
  <cols>
    <col min="2" max="2" width="8.125" customWidth="1"/>
    <col min="3" max="6" width="2.5" customWidth="1"/>
    <col min="7" max="11" width="3.625" customWidth="1"/>
    <col min="12" max="21" width="3.875" customWidth="1"/>
    <col min="22" max="25" width="2.875" customWidth="1"/>
    <col min="26" max="27" width="5" customWidth="1"/>
    <col min="28" max="28" width="3.875" customWidth="1"/>
  </cols>
  <sheetData>
    <row r="1" spans="1:28" ht="19.5" customHeight="1">
      <c r="A1" s="1"/>
    </row>
    <row r="2" spans="1:28" ht="19.5" customHeight="1">
      <c r="B2" s="123" t="s">
        <v>0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4" t="s">
        <v>1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</row>
    <row r="3" spans="1:28" ht="19.5" customHeight="1">
      <c r="B3" s="125" t="s">
        <v>2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6"/>
      <c r="P3" s="127" t="s">
        <v>3</v>
      </c>
      <c r="Q3" s="128"/>
      <c r="R3" s="129"/>
      <c r="S3" s="127" t="s">
        <v>4</v>
      </c>
      <c r="T3" s="128"/>
      <c r="U3" s="129"/>
      <c r="V3" s="127" t="s">
        <v>5</v>
      </c>
      <c r="W3" s="128"/>
      <c r="X3" s="128"/>
      <c r="Y3" s="129"/>
      <c r="Z3" s="127" t="s">
        <v>6</v>
      </c>
      <c r="AA3" s="129"/>
      <c r="AB3" s="2" t="s">
        <v>7</v>
      </c>
    </row>
    <row r="4" spans="1:28" ht="19.5" customHeight="1"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6"/>
      <c r="P4" s="119"/>
      <c r="Q4" s="122"/>
      <c r="R4" s="120"/>
      <c r="S4" s="130"/>
      <c r="T4" s="131"/>
      <c r="U4" s="132"/>
      <c r="V4" s="130"/>
      <c r="W4" s="131"/>
      <c r="X4" s="131"/>
      <c r="Y4" s="132"/>
      <c r="Z4" s="119"/>
      <c r="AA4" s="120"/>
      <c r="AB4" s="3" t="s">
        <v>8</v>
      </c>
    </row>
    <row r="5" spans="1:28" ht="19.5" customHeight="1"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</row>
    <row r="6" spans="1:28" ht="19.5" customHeight="1">
      <c r="B6" s="54" t="s">
        <v>9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6"/>
    </row>
    <row r="7" spans="1:28" ht="19.5" customHeight="1">
      <c r="B7" s="58" t="s">
        <v>10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</row>
    <row r="8" spans="1:28" ht="19.5" customHeight="1">
      <c r="B8" s="54" t="s">
        <v>11</v>
      </c>
      <c r="C8" s="56"/>
      <c r="D8" s="54" t="s">
        <v>12</v>
      </c>
      <c r="E8" s="55"/>
      <c r="F8" s="55"/>
      <c r="G8" s="55"/>
      <c r="H8" s="55"/>
      <c r="I8" s="55"/>
      <c r="J8" s="55"/>
      <c r="K8" s="56"/>
      <c r="L8" s="54" t="s">
        <v>13</v>
      </c>
      <c r="M8" s="55"/>
      <c r="N8" s="55"/>
      <c r="O8" s="55"/>
      <c r="P8" s="55"/>
      <c r="Q8" s="55"/>
      <c r="R8" s="55"/>
      <c r="S8" s="56"/>
      <c r="T8" s="54" t="s">
        <v>14</v>
      </c>
      <c r="U8" s="55"/>
      <c r="V8" s="55"/>
      <c r="W8" s="55"/>
      <c r="X8" s="55"/>
      <c r="Y8" s="55"/>
      <c r="Z8" s="55"/>
      <c r="AA8" s="55"/>
      <c r="AB8" s="56"/>
    </row>
    <row r="9" spans="1:28" ht="19.5" customHeight="1">
      <c r="B9" s="85">
        <v>1</v>
      </c>
      <c r="C9" s="87"/>
      <c r="D9" s="85" t="s">
        <v>15</v>
      </c>
      <c r="E9" s="86"/>
      <c r="F9" s="86"/>
      <c r="G9" s="86"/>
      <c r="H9" s="86"/>
      <c r="I9" s="86"/>
      <c r="J9" s="86"/>
      <c r="K9" s="87"/>
      <c r="L9" s="85" t="s">
        <v>98</v>
      </c>
      <c r="M9" s="86"/>
      <c r="N9" s="86"/>
      <c r="O9" s="86"/>
      <c r="P9" s="86"/>
      <c r="Q9" s="86"/>
      <c r="R9" s="86"/>
      <c r="S9" s="87"/>
      <c r="T9" s="85" t="s">
        <v>16</v>
      </c>
      <c r="U9" s="86"/>
      <c r="V9" s="86"/>
      <c r="W9" s="86"/>
      <c r="X9" s="86"/>
      <c r="Y9" s="86"/>
      <c r="Z9" s="86"/>
      <c r="AA9" s="86"/>
      <c r="AB9" s="87"/>
    </row>
    <row r="10" spans="1:28" ht="19.5" customHeight="1">
      <c r="B10" s="85">
        <v>2</v>
      </c>
      <c r="C10" s="87"/>
      <c r="D10" s="85" t="s">
        <v>17</v>
      </c>
      <c r="E10" s="86"/>
      <c r="F10" s="86"/>
      <c r="G10" s="86"/>
      <c r="H10" s="86"/>
      <c r="I10" s="86"/>
      <c r="J10" s="86"/>
      <c r="K10" s="87"/>
      <c r="L10" s="85" t="s">
        <v>98</v>
      </c>
      <c r="M10" s="86"/>
      <c r="N10" s="86"/>
      <c r="O10" s="86"/>
      <c r="P10" s="86"/>
      <c r="Q10" s="86"/>
      <c r="R10" s="86"/>
      <c r="S10" s="87"/>
      <c r="T10" s="85" t="s">
        <v>16</v>
      </c>
      <c r="U10" s="86"/>
      <c r="V10" s="86"/>
      <c r="W10" s="86"/>
      <c r="X10" s="86"/>
      <c r="Y10" s="86"/>
      <c r="Z10" s="86"/>
      <c r="AA10" s="86"/>
      <c r="AB10" s="87"/>
    </row>
    <row r="11" spans="1:28" ht="19.5" customHeight="1">
      <c r="B11" s="85">
        <v>3</v>
      </c>
      <c r="C11" s="87"/>
      <c r="D11" s="85" t="s">
        <v>18</v>
      </c>
      <c r="E11" s="86"/>
      <c r="F11" s="86"/>
      <c r="G11" s="86"/>
      <c r="H11" s="86"/>
      <c r="I11" s="86"/>
      <c r="J11" s="86"/>
      <c r="K11" s="87"/>
      <c r="L11" s="85" t="s">
        <v>98</v>
      </c>
      <c r="M11" s="86"/>
      <c r="N11" s="86"/>
      <c r="O11" s="86"/>
      <c r="P11" s="86"/>
      <c r="Q11" s="86"/>
      <c r="R11" s="86"/>
      <c r="S11" s="87"/>
      <c r="T11" s="85" t="s">
        <v>16</v>
      </c>
      <c r="U11" s="86"/>
      <c r="V11" s="86"/>
      <c r="W11" s="86"/>
      <c r="X11" s="86"/>
      <c r="Y11" s="86"/>
      <c r="Z11" s="86"/>
      <c r="AA11" s="86"/>
      <c r="AB11" s="87"/>
    </row>
    <row r="12" spans="1:28" ht="19.5" customHeight="1">
      <c r="B12" s="85">
        <v>4</v>
      </c>
      <c r="C12" s="87"/>
      <c r="D12" s="85"/>
      <c r="E12" s="86"/>
      <c r="F12" s="86"/>
      <c r="G12" s="86"/>
      <c r="H12" s="86"/>
      <c r="I12" s="86"/>
      <c r="J12" s="86"/>
      <c r="K12" s="87"/>
      <c r="L12" s="85"/>
      <c r="M12" s="86"/>
      <c r="N12" s="86"/>
      <c r="O12" s="86"/>
      <c r="P12" s="86"/>
      <c r="Q12" s="86"/>
      <c r="R12" s="86"/>
      <c r="S12" s="87"/>
      <c r="T12" s="85"/>
      <c r="U12" s="86"/>
      <c r="V12" s="86"/>
      <c r="W12" s="86"/>
      <c r="X12" s="86"/>
      <c r="Y12" s="86"/>
      <c r="Z12" s="86"/>
      <c r="AA12" s="86"/>
      <c r="AB12" s="87"/>
    </row>
    <row r="13" spans="1:28" ht="19.5" customHeight="1">
      <c r="B13" s="88"/>
      <c r="C13" s="89"/>
      <c r="D13" s="88"/>
      <c r="E13" s="90"/>
      <c r="F13" s="90"/>
      <c r="G13" s="90"/>
      <c r="H13" s="90"/>
      <c r="I13" s="90"/>
      <c r="J13" s="90"/>
      <c r="K13" s="89"/>
      <c r="L13" s="88"/>
      <c r="M13" s="90"/>
      <c r="N13" s="90"/>
      <c r="O13" s="90"/>
      <c r="P13" s="90"/>
      <c r="Q13" s="90"/>
      <c r="R13" s="90"/>
      <c r="S13" s="89"/>
      <c r="T13" s="88"/>
      <c r="U13" s="90"/>
      <c r="V13" s="90"/>
      <c r="W13" s="90"/>
      <c r="X13" s="90"/>
      <c r="Y13" s="90"/>
      <c r="Z13" s="90"/>
      <c r="AA13" s="90"/>
      <c r="AB13" s="89"/>
    </row>
    <row r="14" spans="1:28" ht="19.5" customHeight="1">
      <c r="B14" s="65" t="s">
        <v>19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</row>
    <row r="15" spans="1:28" ht="19.5" customHeight="1">
      <c r="B15" s="118" t="s">
        <v>20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 spans="1:28" ht="19.5" customHeight="1">
      <c r="B16" s="68" t="s">
        <v>21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</row>
    <row r="17" spans="2:28" ht="19.5" customHeight="1">
      <c r="B17" s="61" t="s">
        <v>22</v>
      </c>
      <c r="C17" s="62"/>
      <c r="D17" s="63"/>
      <c r="E17" s="61" t="s">
        <v>24</v>
      </c>
      <c r="F17" s="62"/>
      <c r="G17" s="63"/>
      <c r="H17" s="61" t="s">
        <v>26</v>
      </c>
      <c r="I17" s="63"/>
      <c r="J17" s="61" t="s">
        <v>28</v>
      </c>
      <c r="K17" s="62"/>
      <c r="L17" s="63"/>
      <c r="M17" s="61" t="s">
        <v>30</v>
      </c>
      <c r="N17" s="62"/>
      <c r="O17" s="62"/>
      <c r="P17" s="62"/>
      <c r="Q17" s="63"/>
      <c r="R17" s="61" t="s">
        <v>32</v>
      </c>
      <c r="S17" s="62"/>
      <c r="T17" s="63"/>
      <c r="U17" s="61" t="s">
        <v>34</v>
      </c>
      <c r="V17" s="62"/>
      <c r="W17" s="62"/>
      <c r="X17" s="63"/>
      <c r="Y17" s="54" t="s">
        <v>36</v>
      </c>
      <c r="Z17" s="55"/>
      <c r="AA17" s="55"/>
      <c r="AB17" s="56"/>
    </row>
    <row r="18" spans="2:28" ht="19.5" customHeight="1">
      <c r="B18" s="70" t="s">
        <v>23</v>
      </c>
      <c r="C18" s="71"/>
      <c r="D18" s="72"/>
      <c r="E18" s="70" t="s">
        <v>25</v>
      </c>
      <c r="F18" s="71"/>
      <c r="G18" s="72"/>
      <c r="H18" s="70" t="s">
        <v>27</v>
      </c>
      <c r="I18" s="72"/>
      <c r="J18" s="70" t="s">
        <v>29</v>
      </c>
      <c r="K18" s="71"/>
      <c r="L18" s="72"/>
      <c r="M18" s="70" t="s">
        <v>31</v>
      </c>
      <c r="N18" s="71"/>
      <c r="O18" s="71"/>
      <c r="P18" s="71"/>
      <c r="Q18" s="72"/>
      <c r="R18" s="70" t="s">
        <v>33</v>
      </c>
      <c r="S18" s="71"/>
      <c r="T18" s="72"/>
      <c r="U18" s="70" t="s">
        <v>35</v>
      </c>
      <c r="V18" s="71"/>
      <c r="W18" s="71"/>
      <c r="X18" s="72"/>
      <c r="Y18" s="54" t="s">
        <v>37</v>
      </c>
      <c r="Z18" s="56"/>
      <c r="AA18" s="54" t="s">
        <v>38</v>
      </c>
      <c r="AB18" s="56"/>
    </row>
    <row r="19" spans="2:28" ht="19.5" customHeight="1">
      <c r="B19" s="91" t="s">
        <v>90</v>
      </c>
      <c r="C19" s="92"/>
      <c r="D19" s="93"/>
      <c r="E19" s="91" t="s">
        <v>39</v>
      </c>
      <c r="F19" s="92"/>
      <c r="G19" s="93"/>
      <c r="H19" s="79"/>
      <c r="I19" s="81"/>
      <c r="J19" s="79"/>
      <c r="K19" s="80"/>
      <c r="L19" s="81"/>
      <c r="M19" s="102"/>
      <c r="N19" s="103"/>
      <c r="O19" s="103"/>
      <c r="P19" s="103"/>
      <c r="Q19" s="104"/>
      <c r="R19" s="102"/>
      <c r="S19" s="103"/>
      <c r="T19" s="104"/>
      <c r="U19" s="102"/>
      <c r="V19" s="103"/>
      <c r="W19" s="103"/>
      <c r="X19" s="104"/>
      <c r="Y19" s="107"/>
      <c r="Z19" s="108"/>
      <c r="AA19" s="107"/>
      <c r="AB19" s="108"/>
    </row>
    <row r="20" spans="2:28" ht="19.5" customHeight="1">
      <c r="B20" s="112"/>
      <c r="C20" s="113"/>
      <c r="D20" s="114"/>
      <c r="E20" s="112"/>
      <c r="F20" s="113"/>
      <c r="G20" s="114"/>
      <c r="H20" s="115"/>
      <c r="I20" s="116"/>
      <c r="J20" s="115"/>
      <c r="K20" s="117"/>
      <c r="L20" s="116"/>
      <c r="M20" s="109"/>
      <c r="N20" s="110"/>
      <c r="O20" s="110"/>
      <c r="P20" s="110"/>
      <c r="Q20" s="111"/>
      <c r="R20" s="109"/>
      <c r="S20" s="110"/>
      <c r="T20" s="111"/>
      <c r="U20" s="109"/>
      <c r="V20" s="110"/>
      <c r="W20" s="110"/>
      <c r="X20" s="111"/>
      <c r="Y20" s="105"/>
      <c r="Z20" s="106"/>
      <c r="AA20" s="105"/>
      <c r="AB20" s="106"/>
    </row>
    <row r="21" spans="2:28" ht="19.5" customHeight="1">
      <c r="B21" s="112"/>
      <c r="C21" s="113"/>
      <c r="D21" s="114"/>
      <c r="E21" s="112"/>
      <c r="F21" s="113"/>
      <c r="G21" s="114"/>
      <c r="H21" s="115"/>
      <c r="I21" s="116"/>
      <c r="J21" s="115"/>
      <c r="K21" s="117"/>
      <c r="L21" s="116"/>
      <c r="M21" s="109"/>
      <c r="N21" s="110"/>
      <c r="O21" s="110"/>
      <c r="P21" s="110"/>
      <c r="Q21" s="111"/>
      <c r="R21" s="109"/>
      <c r="S21" s="110"/>
      <c r="T21" s="111"/>
      <c r="U21" s="109"/>
      <c r="V21" s="110"/>
      <c r="W21" s="110"/>
      <c r="X21" s="111"/>
      <c r="Y21" s="105"/>
      <c r="Z21" s="106"/>
      <c r="AA21" s="105"/>
      <c r="AB21" s="106"/>
    </row>
    <row r="22" spans="2:28" ht="19.5" customHeight="1">
      <c r="B22" s="94"/>
      <c r="C22" s="95"/>
      <c r="D22" s="96"/>
      <c r="E22" s="94"/>
      <c r="F22" s="95"/>
      <c r="G22" s="96"/>
      <c r="H22" s="82"/>
      <c r="I22" s="84"/>
      <c r="J22" s="82"/>
      <c r="K22" s="83"/>
      <c r="L22" s="84"/>
      <c r="M22" s="97"/>
      <c r="N22" s="98"/>
      <c r="O22" s="98"/>
      <c r="P22" s="98"/>
      <c r="Q22" s="99"/>
      <c r="R22" s="97"/>
      <c r="S22" s="98"/>
      <c r="T22" s="99"/>
      <c r="U22" s="97"/>
      <c r="V22" s="98"/>
      <c r="W22" s="98"/>
      <c r="X22" s="99"/>
      <c r="Y22" s="100"/>
      <c r="Z22" s="101"/>
      <c r="AA22" s="100"/>
      <c r="AB22" s="101"/>
    </row>
    <row r="23" spans="2:28" ht="19.5" customHeight="1">
      <c r="B23" s="91" t="s">
        <v>91</v>
      </c>
      <c r="C23" s="92"/>
      <c r="D23" s="93"/>
      <c r="E23" s="91" t="s">
        <v>39</v>
      </c>
      <c r="F23" s="92"/>
      <c r="G23" s="93"/>
      <c r="H23" s="79"/>
      <c r="I23" s="81"/>
      <c r="J23" s="79"/>
      <c r="K23" s="80"/>
      <c r="L23" s="81"/>
      <c r="M23" s="102"/>
      <c r="N23" s="103"/>
      <c r="O23" s="103"/>
      <c r="P23" s="103"/>
      <c r="Q23" s="104"/>
      <c r="R23" s="102"/>
      <c r="S23" s="103"/>
      <c r="T23" s="104"/>
      <c r="U23" s="102"/>
      <c r="V23" s="103"/>
      <c r="W23" s="103"/>
      <c r="X23" s="104"/>
      <c r="Y23" s="107"/>
      <c r="Z23" s="108"/>
      <c r="AA23" s="107"/>
      <c r="AB23" s="108"/>
    </row>
    <row r="24" spans="2:28" ht="19.5" customHeight="1">
      <c r="B24" s="94"/>
      <c r="C24" s="95"/>
      <c r="D24" s="96"/>
      <c r="E24" s="94"/>
      <c r="F24" s="95"/>
      <c r="G24" s="96"/>
      <c r="H24" s="82"/>
      <c r="I24" s="84"/>
      <c r="J24" s="82"/>
      <c r="K24" s="83"/>
      <c r="L24" s="84"/>
      <c r="M24" s="97"/>
      <c r="N24" s="98"/>
      <c r="O24" s="98"/>
      <c r="P24" s="98"/>
      <c r="Q24" s="99"/>
      <c r="R24" s="97"/>
      <c r="S24" s="98"/>
      <c r="T24" s="99"/>
      <c r="U24" s="97"/>
      <c r="V24" s="98"/>
      <c r="W24" s="98"/>
      <c r="X24" s="99"/>
      <c r="Y24" s="100"/>
      <c r="Z24" s="101"/>
      <c r="AA24" s="100"/>
      <c r="AB24" s="101"/>
    </row>
    <row r="25" spans="2:28" ht="19.5" customHeight="1">
      <c r="B25" s="91" t="s">
        <v>92</v>
      </c>
      <c r="C25" s="92"/>
      <c r="D25" s="93"/>
      <c r="E25" s="91" t="s">
        <v>39</v>
      </c>
      <c r="F25" s="92"/>
      <c r="G25" s="93"/>
      <c r="H25" s="79"/>
      <c r="I25" s="81"/>
      <c r="J25" s="79"/>
      <c r="K25" s="80"/>
      <c r="L25" s="81"/>
      <c r="M25" s="79"/>
      <c r="N25" s="80"/>
      <c r="O25" s="80"/>
      <c r="P25" s="80"/>
      <c r="Q25" s="81"/>
      <c r="R25" s="79"/>
      <c r="S25" s="80"/>
      <c r="T25" s="81"/>
      <c r="U25" s="79"/>
      <c r="V25" s="80"/>
      <c r="W25" s="80"/>
      <c r="X25" s="81"/>
      <c r="Y25" s="61"/>
      <c r="Z25" s="63"/>
      <c r="AA25" s="61"/>
      <c r="AB25" s="63"/>
    </row>
    <row r="26" spans="2:28" ht="19.5" customHeight="1">
      <c r="B26" s="94"/>
      <c r="C26" s="95"/>
      <c r="D26" s="96"/>
      <c r="E26" s="94"/>
      <c r="F26" s="95"/>
      <c r="G26" s="96"/>
      <c r="H26" s="82"/>
      <c r="I26" s="84"/>
      <c r="J26" s="82"/>
      <c r="K26" s="83"/>
      <c r="L26" s="84"/>
      <c r="M26" s="82"/>
      <c r="N26" s="83"/>
      <c r="O26" s="83"/>
      <c r="P26" s="83"/>
      <c r="Q26" s="84"/>
      <c r="R26" s="82"/>
      <c r="S26" s="83"/>
      <c r="T26" s="84"/>
      <c r="U26" s="82"/>
      <c r="V26" s="83"/>
      <c r="W26" s="83"/>
      <c r="X26" s="84"/>
      <c r="Y26" s="70"/>
      <c r="Z26" s="72"/>
      <c r="AA26" s="70"/>
      <c r="AB26" s="72"/>
    </row>
    <row r="27" spans="2:28" ht="19.5" customHeight="1">
      <c r="B27" s="85"/>
      <c r="C27" s="86"/>
      <c r="D27" s="87"/>
      <c r="E27" s="85"/>
      <c r="F27" s="86"/>
      <c r="G27" s="87"/>
      <c r="H27" s="88"/>
      <c r="I27" s="89"/>
      <c r="J27" s="88"/>
      <c r="K27" s="90"/>
      <c r="L27" s="89"/>
      <c r="M27" s="88"/>
      <c r="N27" s="90"/>
      <c r="O27" s="90"/>
      <c r="P27" s="90"/>
      <c r="Q27" s="89"/>
      <c r="R27" s="88"/>
      <c r="S27" s="90"/>
      <c r="T27" s="89"/>
      <c r="U27" s="88"/>
      <c r="V27" s="90"/>
      <c r="W27" s="90"/>
      <c r="X27" s="89"/>
      <c r="Y27" s="54"/>
      <c r="Z27" s="56"/>
      <c r="AA27" s="54"/>
      <c r="AB27" s="56"/>
    </row>
    <row r="28" spans="2:28" ht="19.5" customHeight="1">
      <c r="B28" s="58" t="s">
        <v>40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</row>
    <row r="29" spans="2:28" ht="19.5" customHeight="1">
      <c r="B29" s="54" t="s">
        <v>41</v>
      </c>
      <c r="C29" s="55"/>
      <c r="D29" s="55"/>
      <c r="E29" s="56"/>
      <c r="F29" s="54" t="s">
        <v>42</v>
      </c>
      <c r="G29" s="55"/>
      <c r="H29" s="55"/>
      <c r="I29" s="55"/>
      <c r="J29" s="56"/>
      <c r="K29" s="54" t="s">
        <v>43</v>
      </c>
      <c r="L29" s="55"/>
      <c r="M29" s="55"/>
      <c r="N29" s="56"/>
      <c r="O29" s="54" t="s">
        <v>44</v>
      </c>
      <c r="P29" s="55"/>
      <c r="Q29" s="55"/>
      <c r="R29" s="55"/>
      <c r="S29" s="55"/>
      <c r="T29" s="55"/>
      <c r="U29" s="55"/>
      <c r="V29" s="55"/>
      <c r="W29" s="56"/>
      <c r="X29" s="54" t="s">
        <v>45</v>
      </c>
      <c r="Y29" s="55"/>
      <c r="Z29" s="55"/>
      <c r="AA29" s="55"/>
      <c r="AB29" s="56"/>
    </row>
    <row r="30" spans="2:28" ht="19.5" customHeight="1">
      <c r="B30" s="54" t="s">
        <v>46</v>
      </c>
      <c r="C30" s="55"/>
      <c r="D30" s="55"/>
      <c r="E30" s="56"/>
      <c r="F30" s="54"/>
      <c r="G30" s="55"/>
      <c r="H30" s="55"/>
      <c r="I30" s="55"/>
      <c r="J30" s="56"/>
      <c r="K30" s="54" t="s">
        <v>47</v>
      </c>
      <c r="L30" s="55"/>
      <c r="M30" s="55"/>
      <c r="N30" s="56"/>
      <c r="O30" s="54" t="s">
        <v>93</v>
      </c>
      <c r="P30" s="55"/>
      <c r="Q30" s="55"/>
      <c r="R30" s="55"/>
      <c r="S30" s="55"/>
      <c r="T30" s="55"/>
      <c r="U30" s="55"/>
      <c r="V30" s="55"/>
      <c r="W30" s="56"/>
      <c r="X30" s="57"/>
      <c r="Y30" s="58"/>
      <c r="Z30" s="58"/>
      <c r="AA30" s="58"/>
      <c r="AB30" s="59"/>
    </row>
    <row r="31" spans="2:28" ht="19.5" customHeight="1">
      <c r="B31" s="58" t="s">
        <v>48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</row>
    <row r="32" spans="2:28" ht="19.5" customHeight="1">
      <c r="B32" s="57" t="s">
        <v>49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9"/>
    </row>
    <row r="33" spans="2:28" ht="19.5" customHeight="1">
      <c r="B33" s="54" t="s">
        <v>50</v>
      </c>
      <c r="C33" s="55"/>
      <c r="D33" s="55"/>
      <c r="E33" s="55"/>
      <c r="F33" s="55"/>
      <c r="G33" s="55"/>
      <c r="H33" s="56"/>
      <c r="I33" s="54" t="s">
        <v>51</v>
      </c>
      <c r="J33" s="55"/>
      <c r="K33" s="55"/>
      <c r="L33" s="55"/>
      <c r="M33" s="56"/>
      <c r="N33" s="54" t="s">
        <v>52</v>
      </c>
      <c r="O33" s="55"/>
      <c r="P33" s="56"/>
      <c r="Q33" s="54" t="s">
        <v>53</v>
      </c>
      <c r="R33" s="55"/>
      <c r="S33" s="55"/>
      <c r="T33" s="55"/>
      <c r="U33" s="55"/>
      <c r="V33" s="56"/>
      <c r="W33" s="54" t="s">
        <v>54</v>
      </c>
      <c r="X33" s="55"/>
      <c r="Y33" s="55"/>
      <c r="Z33" s="56"/>
      <c r="AA33" s="54" t="s">
        <v>55</v>
      </c>
      <c r="AB33" s="56"/>
    </row>
    <row r="34" spans="2:28" ht="19.5" customHeight="1">
      <c r="B34" s="64" t="s">
        <v>56</v>
      </c>
      <c r="C34" s="65"/>
      <c r="D34" s="65"/>
      <c r="E34" s="65"/>
      <c r="F34" s="65"/>
      <c r="G34" s="65"/>
      <c r="H34" s="66"/>
      <c r="I34" s="73" t="s">
        <v>58</v>
      </c>
      <c r="J34" s="74"/>
      <c r="K34" s="74"/>
      <c r="L34" s="74"/>
      <c r="M34" s="75"/>
      <c r="N34" s="73" t="s">
        <v>59</v>
      </c>
      <c r="O34" s="74"/>
      <c r="P34" s="75"/>
      <c r="Q34" s="73" t="s">
        <v>60</v>
      </c>
      <c r="R34" s="74"/>
      <c r="S34" s="74"/>
      <c r="T34" s="74"/>
      <c r="U34" s="74"/>
      <c r="V34" s="75"/>
      <c r="W34" s="73" t="s">
        <v>61</v>
      </c>
      <c r="X34" s="74"/>
      <c r="Y34" s="74"/>
      <c r="Z34" s="75"/>
      <c r="AA34" s="73" t="s">
        <v>62</v>
      </c>
      <c r="AB34" s="75"/>
    </row>
    <row r="35" spans="2:28" ht="19.5" customHeight="1">
      <c r="B35" s="67" t="s">
        <v>57</v>
      </c>
      <c r="C35" s="68"/>
      <c r="D35" s="68"/>
      <c r="E35" s="68"/>
      <c r="F35" s="68"/>
      <c r="G35" s="68"/>
      <c r="H35" s="69"/>
      <c r="I35" s="76"/>
      <c r="J35" s="77"/>
      <c r="K35" s="77"/>
      <c r="L35" s="77"/>
      <c r="M35" s="78"/>
      <c r="N35" s="76"/>
      <c r="O35" s="77"/>
      <c r="P35" s="78"/>
      <c r="Q35" s="76"/>
      <c r="R35" s="77"/>
      <c r="S35" s="77"/>
      <c r="T35" s="77"/>
      <c r="U35" s="77"/>
      <c r="V35" s="78"/>
      <c r="W35" s="76"/>
      <c r="X35" s="77"/>
      <c r="Y35" s="77"/>
      <c r="Z35" s="78"/>
      <c r="AA35" s="76"/>
      <c r="AB35" s="78"/>
    </row>
    <row r="36" spans="2:28" ht="19.5" customHeight="1">
      <c r="B36" s="4" t="s">
        <v>63</v>
      </c>
      <c r="C36" s="61" t="s">
        <v>65</v>
      </c>
      <c r="D36" s="62"/>
      <c r="E36" s="62"/>
      <c r="F36" s="63"/>
      <c r="G36" s="61" t="s">
        <v>66</v>
      </c>
      <c r="H36" s="63"/>
      <c r="I36" s="61" t="s">
        <v>68</v>
      </c>
      <c r="J36" s="62"/>
      <c r="K36" s="62"/>
      <c r="L36" s="62"/>
      <c r="M36" s="63"/>
      <c r="N36" s="61" t="s">
        <v>70</v>
      </c>
      <c r="O36" s="62"/>
      <c r="P36" s="63"/>
      <c r="Q36" s="61" t="s">
        <v>72</v>
      </c>
      <c r="R36" s="62"/>
      <c r="S36" s="62"/>
      <c r="T36" s="62"/>
      <c r="U36" s="62"/>
      <c r="V36" s="63"/>
      <c r="W36" s="61" t="s">
        <v>74</v>
      </c>
      <c r="X36" s="62"/>
      <c r="Y36" s="62"/>
      <c r="Z36" s="63"/>
      <c r="AA36" s="61" t="s">
        <v>76</v>
      </c>
      <c r="AB36" s="63"/>
    </row>
    <row r="37" spans="2:28" ht="19.5" customHeight="1">
      <c r="B37" s="5" t="s">
        <v>64</v>
      </c>
      <c r="C37" s="70" t="s">
        <v>23</v>
      </c>
      <c r="D37" s="71"/>
      <c r="E37" s="71"/>
      <c r="F37" s="72"/>
      <c r="G37" s="70" t="s">
        <v>67</v>
      </c>
      <c r="H37" s="72"/>
      <c r="I37" s="70" t="s">
        <v>69</v>
      </c>
      <c r="J37" s="71"/>
      <c r="K37" s="71"/>
      <c r="L37" s="71"/>
      <c r="M37" s="72"/>
      <c r="N37" s="70" t="s">
        <v>71</v>
      </c>
      <c r="O37" s="71"/>
      <c r="P37" s="72"/>
      <c r="Q37" s="70" t="s">
        <v>73</v>
      </c>
      <c r="R37" s="71"/>
      <c r="S37" s="71"/>
      <c r="T37" s="71"/>
      <c r="U37" s="71"/>
      <c r="V37" s="72"/>
      <c r="W37" s="70" t="s">
        <v>75</v>
      </c>
      <c r="X37" s="71"/>
      <c r="Y37" s="71"/>
      <c r="Z37" s="72"/>
      <c r="AA37" s="70" t="s">
        <v>77</v>
      </c>
      <c r="AB37" s="72"/>
    </row>
    <row r="38" spans="2:28" ht="19.5" customHeight="1">
      <c r="B38" s="6"/>
      <c r="C38" s="57"/>
      <c r="D38" s="58"/>
      <c r="E38" s="58"/>
      <c r="F38" s="59"/>
      <c r="G38" s="57"/>
      <c r="H38" s="59"/>
      <c r="I38" s="57"/>
      <c r="J38" s="58"/>
      <c r="K38" s="58"/>
      <c r="L38" s="58"/>
      <c r="M38" s="59"/>
      <c r="N38" s="57"/>
      <c r="O38" s="58"/>
      <c r="P38" s="59"/>
      <c r="Q38" s="57"/>
      <c r="R38" s="58"/>
      <c r="S38" s="58"/>
      <c r="T38" s="58"/>
      <c r="U38" s="58"/>
      <c r="V38" s="59"/>
      <c r="W38" s="57"/>
      <c r="X38" s="58"/>
      <c r="Y38" s="58"/>
      <c r="Z38" s="59"/>
      <c r="AA38" s="57"/>
      <c r="AB38" s="59"/>
    </row>
    <row r="39" spans="2:28" ht="19.5" customHeight="1">
      <c r="B39" s="61" t="s">
        <v>78</v>
      </c>
      <c r="C39" s="62"/>
      <c r="D39" s="62"/>
      <c r="E39" s="62"/>
      <c r="F39" s="62"/>
      <c r="G39" s="62"/>
      <c r="H39" s="63"/>
      <c r="I39" s="64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6"/>
    </row>
    <row r="40" spans="2:28" ht="19.5" customHeight="1">
      <c r="B40" s="70" t="s">
        <v>79</v>
      </c>
      <c r="C40" s="71"/>
      <c r="D40" s="71"/>
      <c r="E40" s="71"/>
      <c r="F40" s="71"/>
      <c r="G40" s="71"/>
      <c r="H40" s="72"/>
      <c r="I40" s="67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9"/>
    </row>
    <row r="41" spans="2:28" ht="19.5" customHeight="1">
      <c r="B41" s="61" t="s">
        <v>80</v>
      </c>
      <c r="C41" s="62"/>
      <c r="D41" s="62"/>
      <c r="E41" s="62"/>
      <c r="F41" s="62"/>
      <c r="G41" s="62"/>
      <c r="H41" s="63"/>
      <c r="I41" s="64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6"/>
    </row>
    <row r="42" spans="2:28" ht="19.5" customHeight="1">
      <c r="B42" s="70" t="s">
        <v>81</v>
      </c>
      <c r="C42" s="71"/>
      <c r="D42" s="71"/>
      <c r="E42" s="71"/>
      <c r="F42" s="71"/>
      <c r="G42" s="71"/>
      <c r="H42" s="72"/>
      <c r="I42" s="67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9"/>
    </row>
    <row r="43" spans="2:28" ht="19.5" customHeight="1">
      <c r="B43" s="54" t="s">
        <v>82</v>
      </c>
      <c r="C43" s="55"/>
      <c r="D43" s="55"/>
      <c r="E43" s="55"/>
      <c r="F43" s="55"/>
      <c r="G43" s="55"/>
      <c r="H43" s="56"/>
      <c r="I43" s="57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9"/>
    </row>
    <row r="44" spans="2:28" ht="19.5" customHeight="1">
      <c r="B44" s="54" t="s">
        <v>83</v>
      </c>
      <c r="C44" s="55"/>
      <c r="D44" s="55"/>
      <c r="E44" s="55"/>
      <c r="F44" s="55"/>
      <c r="G44" s="55"/>
      <c r="H44" s="56"/>
      <c r="I44" s="57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9"/>
    </row>
    <row r="45" spans="2:28" ht="19.5" customHeight="1">
      <c r="B45" s="57" t="s">
        <v>84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9"/>
    </row>
    <row r="46" spans="2:28" ht="19.5" customHeight="1">
      <c r="B46" s="60" t="s">
        <v>85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</row>
    <row r="47" spans="2:28" ht="19.5" customHeight="1">
      <c r="B47" s="53" t="s">
        <v>86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 spans="2:28" ht="19.5" customHeight="1">
      <c r="B48" s="53" t="s">
        <v>87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 spans="2:28" ht="19.5" customHeight="1">
      <c r="B49" s="53" t="s">
        <v>88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 spans="2:28" ht="19.5" customHeight="1">
      <c r="B50" s="53" t="s">
        <v>89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</sheetData>
  <mergeCells count="178">
    <mergeCell ref="B2:O2"/>
    <mergeCell ref="P2:AB2"/>
    <mergeCell ref="B3:O4"/>
    <mergeCell ref="P3:R3"/>
    <mergeCell ref="S3:U3"/>
    <mergeCell ref="V3:Y3"/>
    <mergeCell ref="Z3:AA3"/>
    <mergeCell ref="P4:R4"/>
    <mergeCell ref="S4:U4"/>
    <mergeCell ref="V4:Y4"/>
    <mergeCell ref="B9:C9"/>
    <mergeCell ref="D9:K9"/>
    <mergeCell ref="L9:S9"/>
    <mergeCell ref="T9:AB9"/>
    <mergeCell ref="B10:C10"/>
    <mergeCell ref="D10:K10"/>
    <mergeCell ref="L10:S10"/>
    <mergeCell ref="T10:AB10"/>
    <mergeCell ref="Z4:AA4"/>
    <mergeCell ref="B5:O5"/>
    <mergeCell ref="P5:AB5"/>
    <mergeCell ref="B6:AB6"/>
    <mergeCell ref="B7:AB7"/>
    <mergeCell ref="B8:C8"/>
    <mergeCell ref="D8:K8"/>
    <mergeCell ref="L8:S8"/>
    <mergeCell ref="T8:AB8"/>
    <mergeCell ref="B13:C13"/>
    <mergeCell ref="D13:K13"/>
    <mergeCell ref="L13:S13"/>
    <mergeCell ref="T13:AB13"/>
    <mergeCell ref="B14:AB14"/>
    <mergeCell ref="B15:AB15"/>
    <mergeCell ref="B11:C11"/>
    <mergeCell ref="D11:K11"/>
    <mergeCell ref="L11:S11"/>
    <mergeCell ref="T11:AB11"/>
    <mergeCell ref="B12:C12"/>
    <mergeCell ref="D12:K12"/>
    <mergeCell ref="L12:S12"/>
    <mergeCell ref="T12:AB12"/>
    <mergeCell ref="B16:AB16"/>
    <mergeCell ref="B17:D17"/>
    <mergeCell ref="B18:D18"/>
    <mergeCell ref="E17:G17"/>
    <mergeCell ref="E18:G18"/>
    <mergeCell ref="H17:I17"/>
    <mergeCell ref="H18:I18"/>
    <mergeCell ref="J17:L17"/>
    <mergeCell ref="J18:L18"/>
    <mergeCell ref="M17:Q17"/>
    <mergeCell ref="U20:X20"/>
    <mergeCell ref="Y20:Z20"/>
    <mergeCell ref="E19:G22"/>
    <mergeCell ref="H19:I22"/>
    <mergeCell ref="M18:Q18"/>
    <mergeCell ref="R17:T17"/>
    <mergeCell ref="R18:T18"/>
    <mergeCell ref="U17:X17"/>
    <mergeCell ref="U18:X18"/>
    <mergeCell ref="Y17:AB17"/>
    <mergeCell ref="Y18:Z18"/>
    <mergeCell ref="AA18:AB18"/>
    <mergeCell ref="B23:D24"/>
    <mergeCell ref="M22:Q22"/>
    <mergeCell ref="R22:T22"/>
    <mergeCell ref="U22:X22"/>
    <mergeCell ref="Y22:Z22"/>
    <mergeCell ref="AA22:AB22"/>
    <mergeCell ref="U23:X23"/>
    <mergeCell ref="Y23:Z23"/>
    <mergeCell ref="AA23:AB23"/>
    <mergeCell ref="B19:D22"/>
    <mergeCell ref="AA20:AB20"/>
    <mergeCell ref="M21:Q21"/>
    <mergeCell ref="R21:T21"/>
    <mergeCell ref="U21:X21"/>
    <mergeCell ref="Y21:Z21"/>
    <mergeCell ref="AA21:AB21"/>
    <mergeCell ref="J19:L22"/>
    <mergeCell ref="M19:Q19"/>
    <mergeCell ref="R19:T19"/>
    <mergeCell ref="U19:X19"/>
    <mergeCell ref="Y19:Z19"/>
    <mergeCell ref="AA19:AB19"/>
    <mergeCell ref="M20:Q20"/>
    <mergeCell ref="R20:T20"/>
    <mergeCell ref="U24:X24"/>
    <mergeCell ref="Y24:Z24"/>
    <mergeCell ref="AA24:AB24"/>
    <mergeCell ref="E25:G26"/>
    <mergeCell ref="H25:I26"/>
    <mergeCell ref="J25:L26"/>
    <mergeCell ref="M25:Q26"/>
    <mergeCell ref="R25:T26"/>
    <mergeCell ref="E23:G24"/>
    <mergeCell ref="H23:I24"/>
    <mergeCell ref="J23:L24"/>
    <mergeCell ref="M23:Q23"/>
    <mergeCell ref="R23:T23"/>
    <mergeCell ref="M24:Q24"/>
    <mergeCell ref="R24:T24"/>
    <mergeCell ref="Y27:Z27"/>
    <mergeCell ref="AA27:AB27"/>
    <mergeCell ref="B28:AB28"/>
    <mergeCell ref="B29:E29"/>
    <mergeCell ref="F29:J29"/>
    <mergeCell ref="K29:N29"/>
    <mergeCell ref="O29:W29"/>
    <mergeCell ref="X29:AB29"/>
    <mergeCell ref="U25:X26"/>
    <mergeCell ref="Y25:Z26"/>
    <mergeCell ref="AA25:AB26"/>
    <mergeCell ref="B27:D27"/>
    <mergeCell ref="E27:G27"/>
    <mergeCell ref="H27:I27"/>
    <mergeCell ref="J27:L27"/>
    <mergeCell ref="M27:Q27"/>
    <mergeCell ref="R27:T27"/>
    <mergeCell ref="U27:X27"/>
    <mergeCell ref="B25:D26"/>
    <mergeCell ref="B32:AB32"/>
    <mergeCell ref="B33:H33"/>
    <mergeCell ref="I33:M33"/>
    <mergeCell ref="N33:P33"/>
    <mergeCell ref="Q33:V33"/>
    <mergeCell ref="W33:Z33"/>
    <mergeCell ref="AA33:AB33"/>
    <mergeCell ref="B30:E30"/>
    <mergeCell ref="F30:J30"/>
    <mergeCell ref="K30:N30"/>
    <mergeCell ref="O30:W30"/>
    <mergeCell ref="X30:AB30"/>
    <mergeCell ref="B31:AB31"/>
    <mergeCell ref="AA34:AB35"/>
    <mergeCell ref="C36:F36"/>
    <mergeCell ref="C37:F37"/>
    <mergeCell ref="G36:H36"/>
    <mergeCell ref="G37:H37"/>
    <mergeCell ref="I36:M36"/>
    <mergeCell ref="I37:M37"/>
    <mergeCell ref="N36:P36"/>
    <mergeCell ref="N37:P37"/>
    <mergeCell ref="Q36:V36"/>
    <mergeCell ref="B34:H34"/>
    <mergeCell ref="B35:H35"/>
    <mergeCell ref="I34:M35"/>
    <mergeCell ref="N34:P35"/>
    <mergeCell ref="Q34:V35"/>
    <mergeCell ref="W34:Z35"/>
    <mergeCell ref="B45:AB45"/>
    <mergeCell ref="B46:AB46"/>
    <mergeCell ref="B47:AB47"/>
    <mergeCell ref="B48:AB48"/>
    <mergeCell ref="B49:AB49"/>
    <mergeCell ref="B50:AB50"/>
    <mergeCell ref="B42:H42"/>
    <mergeCell ref="I41:AB42"/>
    <mergeCell ref="B43:H43"/>
    <mergeCell ref="I43:AB43"/>
    <mergeCell ref="B44:H44"/>
    <mergeCell ref="I44:AB44"/>
    <mergeCell ref="B39:H39"/>
    <mergeCell ref="B40:H40"/>
    <mergeCell ref="I39:AB40"/>
    <mergeCell ref="B41:H41"/>
    <mergeCell ref="Q37:V37"/>
    <mergeCell ref="W36:Z36"/>
    <mergeCell ref="W37:Z37"/>
    <mergeCell ref="AA36:AB36"/>
    <mergeCell ref="AA37:AB37"/>
    <mergeCell ref="C38:F38"/>
    <mergeCell ref="G38:H38"/>
    <mergeCell ref="I38:M38"/>
    <mergeCell ref="N38:P38"/>
    <mergeCell ref="Q38:V38"/>
    <mergeCell ref="W38:Z38"/>
    <mergeCell ref="AA38:AB38"/>
  </mergeCells>
  <phoneticPr fontId="8" type="noConversion"/>
  <pageMargins left="0.7" right="0.7" top="0.75" bottom="0.75" header="0.3" footer="0.3"/>
  <pageSetup paperSize="9" scale="7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5B20-CEF0-4DBE-8C09-FBE866AC1A36}">
  <dimension ref="A1:AB50"/>
  <sheetViews>
    <sheetView view="pageBreakPreview" zoomScale="60" zoomScaleNormal="100" workbookViewId="0">
      <selection activeCell="R22" sqref="R22:T22"/>
    </sheetView>
  </sheetViews>
  <sheetFormatPr defaultRowHeight="19.5" customHeight="1"/>
  <cols>
    <col min="2" max="2" width="8.125" customWidth="1"/>
    <col min="3" max="6" width="2.5" customWidth="1"/>
    <col min="7" max="11" width="3.625" customWidth="1"/>
    <col min="12" max="21" width="3.875" customWidth="1"/>
    <col min="22" max="25" width="2.875" customWidth="1"/>
    <col min="26" max="27" width="5" customWidth="1"/>
    <col min="28" max="28" width="3.875" customWidth="1"/>
  </cols>
  <sheetData>
    <row r="1" spans="1:28" ht="19.5" customHeight="1">
      <c r="A1" s="1"/>
    </row>
    <row r="2" spans="1:28" ht="19.5" customHeight="1">
      <c r="B2" s="123" t="s">
        <v>0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4" t="s">
        <v>1</v>
      </c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</row>
    <row r="3" spans="1:28" ht="19.5" customHeight="1">
      <c r="B3" s="125" t="s">
        <v>2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6"/>
      <c r="P3" s="127" t="s">
        <v>3</v>
      </c>
      <c r="Q3" s="128"/>
      <c r="R3" s="129"/>
      <c r="S3" s="127" t="s">
        <v>4</v>
      </c>
      <c r="T3" s="128"/>
      <c r="U3" s="129"/>
      <c r="V3" s="127" t="s">
        <v>5</v>
      </c>
      <c r="W3" s="128"/>
      <c r="X3" s="128"/>
      <c r="Y3" s="129"/>
      <c r="Z3" s="127" t="s">
        <v>6</v>
      </c>
      <c r="AA3" s="129"/>
      <c r="AB3" s="2" t="s">
        <v>7</v>
      </c>
    </row>
    <row r="4" spans="1:28" ht="19.5" customHeight="1"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6"/>
      <c r="P4" s="119"/>
      <c r="Q4" s="122"/>
      <c r="R4" s="120"/>
      <c r="S4" s="130"/>
      <c r="T4" s="131"/>
      <c r="U4" s="132"/>
      <c r="V4" s="130"/>
      <c r="W4" s="131"/>
      <c r="X4" s="131"/>
      <c r="Y4" s="132"/>
      <c r="Z4" s="119"/>
      <c r="AA4" s="120"/>
      <c r="AB4" s="3" t="s">
        <v>8</v>
      </c>
    </row>
    <row r="5" spans="1:28" ht="19.5" customHeight="1"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</row>
    <row r="6" spans="1:28" ht="19.5" customHeight="1">
      <c r="B6" s="54" t="s">
        <v>9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6"/>
    </row>
    <row r="7" spans="1:28" ht="19.5" customHeight="1">
      <c r="B7" s="58" t="s">
        <v>10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</row>
    <row r="8" spans="1:28" ht="19.5" customHeight="1">
      <c r="B8" s="54" t="s">
        <v>11</v>
      </c>
      <c r="C8" s="56"/>
      <c r="D8" s="54" t="s">
        <v>12</v>
      </c>
      <c r="E8" s="55"/>
      <c r="F8" s="55"/>
      <c r="G8" s="55"/>
      <c r="H8" s="55"/>
      <c r="I8" s="55"/>
      <c r="J8" s="55"/>
      <c r="K8" s="56"/>
      <c r="L8" s="54" t="s">
        <v>13</v>
      </c>
      <c r="M8" s="55"/>
      <c r="N8" s="55"/>
      <c r="O8" s="55"/>
      <c r="P8" s="55"/>
      <c r="Q8" s="55"/>
      <c r="R8" s="55"/>
      <c r="S8" s="56"/>
      <c r="T8" s="54" t="s">
        <v>14</v>
      </c>
      <c r="U8" s="55"/>
      <c r="V8" s="55"/>
      <c r="W8" s="55"/>
      <c r="X8" s="55"/>
      <c r="Y8" s="55"/>
      <c r="Z8" s="55"/>
      <c r="AA8" s="55"/>
      <c r="AB8" s="56"/>
    </row>
    <row r="9" spans="1:28" ht="19.5" customHeight="1">
      <c r="B9" s="85">
        <v>1</v>
      </c>
      <c r="C9" s="87"/>
      <c r="D9" s="85" t="s">
        <v>15</v>
      </c>
      <c r="E9" s="86"/>
      <c r="F9" s="86"/>
      <c r="G9" s="86"/>
      <c r="H9" s="86"/>
      <c r="I9" s="86"/>
      <c r="J9" s="86"/>
      <c r="K9" s="87"/>
      <c r="L9" s="85" t="s">
        <v>98</v>
      </c>
      <c r="M9" s="86"/>
      <c r="N9" s="86"/>
      <c r="O9" s="86"/>
      <c r="P9" s="86"/>
      <c r="Q9" s="86"/>
      <c r="R9" s="86"/>
      <c r="S9" s="87"/>
      <c r="T9" s="85" t="s">
        <v>16</v>
      </c>
      <c r="U9" s="86"/>
      <c r="V9" s="86"/>
      <c r="W9" s="86"/>
      <c r="X9" s="86"/>
      <c r="Y9" s="86"/>
      <c r="Z9" s="86"/>
      <c r="AA9" s="86"/>
      <c r="AB9" s="87"/>
    </row>
    <row r="10" spans="1:28" ht="19.5" customHeight="1">
      <c r="B10" s="85">
        <v>2</v>
      </c>
      <c r="C10" s="87"/>
      <c r="D10" s="85" t="s">
        <v>17</v>
      </c>
      <c r="E10" s="86"/>
      <c r="F10" s="86"/>
      <c r="G10" s="86"/>
      <c r="H10" s="86"/>
      <c r="I10" s="86"/>
      <c r="J10" s="86"/>
      <c r="K10" s="87"/>
      <c r="L10" s="85" t="s">
        <v>98</v>
      </c>
      <c r="M10" s="86"/>
      <c r="N10" s="86"/>
      <c r="O10" s="86"/>
      <c r="P10" s="86"/>
      <c r="Q10" s="86"/>
      <c r="R10" s="86"/>
      <c r="S10" s="87"/>
      <c r="T10" s="85" t="s">
        <v>16</v>
      </c>
      <c r="U10" s="86"/>
      <c r="V10" s="86"/>
      <c r="W10" s="86"/>
      <c r="X10" s="86"/>
      <c r="Y10" s="86"/>
      <c r="Z10" s="86"/>
      <c r="AA10" s="86"/>
      <c r="AB10" s="87"/>
    </row>
    <row r="11" spans="1:28" ht="19.5" customHeight="1">
      <c r="B11" s="85">
        <v>3</v>
      </c>
      <c r="C11" s="87"/>
      <c r="D11" s="85" t="s">
        <v>18</v>
      </c>
      <c r="E11" s="86"/>
      <c r="F11" s="86"/>
      <c r="G11" s="86"/>
      <c r="H11" s="86"/>
      <c r="I11" s="86"/>
      <c r="J11" s="86"/>
      <c r="K11" s="87"/>
      <c r="L11" s="85" t="s">
        <v>98</v>
      </c>
      <c r="M11" s="86"/>
      <c r="N11" s="86"/>
      <c r="O11" s="86"/>
      <c r="P11" s="86"/>
      <c r="Q11" s="86"/>
      <c r="R11" s="86"/>
      <c r="S11" s="87"/>
      <c r="T11" s="85" t="s">
        <v>16</v>
      </c>
      <c r="U11" s="86"/>
      <c r="V11" s="86"/>
      <c r="W11" s="86"/>
      <c r="X11" s="86"/>
      <c r="Y11" s="86"/>
      <c r="Z11" s="86"/>
      <c r="AA11" s="86"/>
      <c r="AB11" s="87"/>
    </row>
    <row r="12" spans="1:28" ht="19.5" customHeight="1">
      <c r="B12" s="85">
        <v>4</v>
      </c>
      <c r="C12" s="87"/>
      <c r="D12" s="85"/>
      <c r="E12" s="86"/>
      <c r="F12" s="86"/>
      <c r="G12" s="86"/>
      <c r="H12" s="86"/>
      <c r="I12" s="86"/>
      <c r="J12" s="86"/>
      <c r="K12" s="87"/>
      <c r="L12" s="85"/>
      <c r="M12" s="86"/>
      <c r="N12" s="86"/>
      <c r="O12" s="86"/>
      <c r="P12" s="86"/>
      <c r="Q12" s="86"/>
      <c r="R12" s="86"/>
      <c r="S12" s="87"/>
      <c r="T12" s="85"/>
      <c r="U12" s="86"/>
      <c r="V12" s="86"/>
      <c r="W12" s="86"/>
      <c r="X12" s="86"/>
      <c r="Y12" s="86"/>
      <c r="Z12" s="86"/>
      <c r="AA12" s="86"/>
      <c r="AB12" s="87"/>
    </row>
    <row r="13" spans="1:28" ht="19.5" customHeight="1">
      <c r="B13" s="88"/>
      <c r="C13" s="89"/>
      <c r="D13" s="88"/>
      <c r="E13" s="90"/>
      <c r="F13" s="90"/>
      <c r="G13" s="90"/>
      <c r="H13" s="90"/>
      <c r="I13" s="90"/>
      <c r="J13" s="90"/>
      <c r="K13" s="89"/>
      <c r="L13" s="88"/>
      <c r="M13" s="90"/>
      <c r="N13" s="90"/>
      <c r="O13" s="90"/>
      <c r="P13" s="90"/>
      <c r="Q13" s="90"/>
      <c r="R13" s="90"/>
      <c r="S13" s="89"/>
      <c r="T13" s="88"/>
      <c r="U13" s="90"/>
      <c r="V13" s="90"/>
      <c r="W13" s="90"/>
      <c r="X13" s="90"/>
      <c r="Y13" s="90"/>
      <c r="Z13" s="90"/>
      <c r="AA13" s="90"/>
      <c r="AB13" s="89"/>
    </row>
    <row r="14" spans="1:28" ht="19.5" customHeight="1">
      <c r="B14" s="65" t="s">
        <v>19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</row>
    <row r="15" spans="1:28" ht="19.5" customHeight="1">
      <c r="B15" s="118" t="s">
        <v>20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 spans="1:28" ht="19.5" customHeight="1">
      <c r="B16" s="68" t="s">
        <v>21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</row>
    <row r="17" spans="2:28" ht="19.5" customHeight="1">
      <c r="B17" s="61" t="s">
        <v>22</v>
      </c>
      <c r="C17" s="62"/>
      <c r="D17" s="63"/>
      <c r="E17" s="61" t="s">
        <v>24</v>
      </c>
      <c r="F17" s="62"/>
      <c r="G17" s="63"/>
      <c r="H17" s="61" t="s">
        <v>26</v>
      </c>
      <c r="I17" s="63"/>
      <c r="J17" s="61" t="s">
        <v>28</v>
      </c>
      <c r="K17" s="62"/>
      <c r="L17" s="63"/>
      <c r="M17" s="61" t="s">
        <v>30</v>
      </c>
      <c r="N17" s="62"/>
      <c r="O17" s="62"/>
      <c r="P17" s="62"/>
      <c r="Q17" s="63"/>
      <c r="R17" s="61" t="s">
        <v>32</v>
      </c>
      <c r="S17" s="62"/>
      <c r="T17" s="63"/>
      <c r="U17" s="61" t="s">
        <v>34</v>
      </c>
      <c r="V17" s="62"/>
      <c r="W17" s="62"/>
      <c r="X17" s="63"/>
      <c r="Y17" s="54" t="s">
        <v>36</v>
      </c>
      <c r="Z17" s="55"/>
      <c r="AA17" s="55"/>
      <c r="AB17" s="56"/>
    </row>
    <row r="18" spans="2:28" ht="19.5" customHeight="1">
      <c r="B18" s="70" t="s">
        <v>23</v>
      </c>
      <c r="C18" s="71"/>
      <c r="D18" s="72"/>
      <c r="E18" s="70" t="s">
        <v>25</v>
      </c>
      <c r="F18" s="71"/>
      <c r="G18" s="72"/>
      <c r="H18" s="70" t="s">
        <v>27</v>
      </c>
      <c r="I18" s="72"/>
      <c r="J18" s="70" t="s">
        <v>29</v>
      </c>
      <c r="K18" s="71"/>
      <c r="L18" s="72"/>
      <c r="M18" s="70" t="s">
        <v>31</v>
      </c>
      <c r="N18" s="71"/>
      <c r="O18" s="71"/>
      <c r="P18" s="71"/>
      <c r="Q18" s="72"/>
      <c r="R18" s="70" t="s">
        <v>33</v>
      </c>
      <c r="S18" s="71"/>
      <c r="T18" s="72"/>
      <c r="U18" s="70" t="s">
        <v>35</v>
      </c>
      <c r="V18" s="71"/>
      <c r="W18" s="71"/>
      <c r="X18" s="72"/>
      <c r="Y18" s="54" t="s">
        <v>37</v>
      </c>
      <c r="Z18" s="56"/>
      <c r="AA18" s="54" t="s">
        <v>38</v>
      </c>
      <c r="AB18" s="56"/>
    </row>
    <row r="19" spans="2:28" ht="19.5" customHeight="1">
      <c r="B19" s="91" t="s">
        <v>90</v>
      </c>
      <c r="C19" s="92"/>
      <c r="D19" s="93"/>
      <c r="E19" s="91" t="s">
        <v>39</v>
      </c>
      <c r="F19" s="92"/>
      <c r="G19" s="93"/>
      <c r="H19" s="79"/>
      <c r="I19" s="81"/>
      <c r="J19" s="79"/>
      <c r="K19" s="80"/>
      <c r="L19" s="81"/>
      <c r="M19" s="102"/>
      <c r="N19" s="103"/>
      <c r="O19" s="103"/>
      <c r="P19" s="103"/>
      <c r="Q19" s="104"/>
      <c r="R19" s="102"/>
      <c r="S19" s="103"/>
      <c r="T19" s="104"/>
      <c r="U19" s="102"/>
      <c r="V19" s="103"/>
      <c r="W19" s="103"/>
      <c r="X19" s="104"/>
      <c r="Y19" s="107"/>
      <c r="Z19" s="108"/>
      <c r="AA19" s="107"/>
      <c r="AB19" s="108"/>
    </row>
    <row r="20" spans="2:28" ht="19.5" customHeight="1">
      <c r="B20" s="112"/>
      <c r="C20" s="113"/>
      <c r="D20" s="114"/>
      <c r="E20" s="112"/>
      <c r="F20" s="113"/>
      <c r="G20" s="114"/>
      <c r="H20" s="115"/>
      <c r="I20" s="116"/>
      <c r="J20" s="115"/>
      <c r="K20" s="117"/>
      <c r="L20" s="116"/>
      <c r="M20" s="109"/>
      <c r="N20" s="110"/>
      <c r="O20" s="110"/>
      <c r="P20" s="110"/>
      <c r="Q20" s="111"/>
      <c r="R20" s="109"/>
      <c r="S20" s="110"/>
      <c r="T20" s="111"/>
      <c r="U20" s="109"/>
      <c r="V20" s="110"/>
      <c r="W20" s="110"/>
      <c r="X20" s="111"/>
      <c r="Y20" s="105"/>
      <c r="Z20" s="106"/>
      <c r="AA20" s="105"/>
      <c r="AB20" s="106"/>
    </row>
    <row r="21" spans="2:28" ht="19.5" customHeight="1">
      <c r="B21" s="112"/>
      <c r="C21" s="113"/>
      <c r="D21" s="114"/>
      <c r="E21" s="112"/>
      <c r="F21" s="113"/>
      <c r="G21" s="114"/>
      <c r="H21" s="115"/>
      <c r="I21" s="116"/>
      <c r="J21" s="115"/>
      <c r="K21" s="117"/>
      <c r="L21" s="116"/>
      <c r="M21" s="109"/>
      <c r="N21" s="110"/>
      <c r="O21" s="110"/>
      <c r="P21" s="110"/>
      <c r="Q21" s="111"/>
      <c r="R21" s="109"/>
      <c r="S21" s="110"/>
      <c r="T21" s="111"/>
      <c r="U21" s="109"/>
      <c r="V21" s="110"/>
      <c r="W21" s="110"/>
      <c r="X21" s="111"/>
      <c r="Y21" s="105"/>
      <c r="Z21" s="106"/>
      <c r="AA21" s="105"/>
      <c r="AB21" s="106"/>
    </row>
    <row r="22" spans="2:28" ht="19.5" customHeight="1">
      <c r="B22" s="94"/>
      <c r="C22" s="95"/>
      <c r="D22" s="96"/>
      <c r="E22" s="94"/>
      <c r="F22" s="95"/>
      <c r="G22" s="96"/>
      <c r="H22" s="82"/>
      <c r="I22" s="84"/>
      <c r="J22" s="82"/>
      <c r="K22" s="83"/>
      <c r="L22" s="84"/>
      <c r="M22" s="97"/>
      <c r="N22" s="98"/>
      <c r="O22" s="98"/>
      <c r="P22" s="98"/>
      <c r="Q22" s="99"/>
      <c r="R22" s="97"/>
      <c r="S22" s="98"/>
      <c r="T22" s="99"/>
      <c r="U22" s="97"/>
      <c r="V22" s="98"/>
      <c r="W22" s="98"/>
      <c r="X22" s="99"/>
      <c r="Y22" s="100"/>
      <c r="Z22" s="101"/>
      <c r="AA22" s="100"/>
      <c r="AB22" s="101"/>
    </row>
    <row r="23" spans="2:28" ht="19.5" customHeight="1">
      <c r="B23" s="91" t="s">
        <v>91</v>
      </c>
      <c r="C23" s="92"/>
      <c r="D23" s="93"/>
      <c r="E23" s="91" t="s">
        <v>39</v>
      </c>
      <c r="F23" s="92"/>
      <c r="G23" s="93"/>
      <c r="H23" s="79"/>
      <c r="I23" s="81"/>
      <c r="J23" s="79"/>
      <c r="K23" s="80"/>
      <c r="L23" s="81"/>
      <c r="M23" s="102"/>
      <c r="N23" s="103"/>
      <c r="O23" s="103"/>
      <c r="P23" s="103"/>
      <c r="Q23" s="104"/>
      <c r="R23" s="102"/>
      <c r="S23" s="103"/>
      <c r="T23" s="104"/>
      <c r="U23" s="102"/>
      <c r="V23" s="103"/>
      <c r="W23" s="103"/>
      <c r="X23" s="104"/>
      <c r="Y23" s="107"/>
      <c r="Z23" s="108"/>
      <c r="AA23" s="107"/>
      <c r="AB23" s="108"/>
    </row>
    <row r="24" spans="2:28" ht="19.5" customHeight="1">
      <c r="B24" s="94"/>
      <c r="C24" s="95"/>
      <c r="D24" s="96"/>
      <c r="E24" s="94"/>
      <c r="F24" s="95"/>
      <c r="G24" s="96"/>
      <c r="H24" s="82"/>
      <c r="I24" s="84"/>
      <c r="J24" s="82"/>
      <c r="K24" s="83"/>
      <c r="L24" s="84"/>
      <c r="M24" s="97"/>
      <c r="N24" s="98"/>
      <c r="O24" s="98"/>
      <c r="P24" s="98"/>
      <c r="Q24" s="99"/>
      <c r="R24" s="97"/>
      <c r="S24" s="98"/>
      <c r="T24" s="99"/>
      <c r="U24" s="97"/>
      <c r="V24" s="98"/>
      <c r="W24" s="98"/>
      <c r="X24" s="99"/>
      <c r="Y24" s="100"/>
      <c r="Z24" s="101"/>
      <c r="AA24" s="100"/>
      <c r="AB24" s="101"/>
    </row>
    <row r="25" spans="2:28" ht="19.5" customHeight="1">
      <c r="B25" s="91" t="s">
        <v>92</v>
      </c>
      <c r="C25" s="92"/>
      <c r="D25" s="93"/>
      <c r="E25" s="91" t="s">
        <v>39</v>
      </c>
      <c r="F25" s="92"/>
      <c r="G25" s="93"/>
      <c r="H25" s="79"/>
      <c r="I25" s="81"/>
      <c r="J25" s="79"/>
      <c r="K25" s="80"/>
      <c r="L25" s="81"/>
      <c r="M25" s="79"/>
      <c r="N25" s="80"/>
      <c r="O25" s="80"/>
      <c r="P25" s="80"/>
      <c r="Q25" s="81"/>
      <c r="R25" s="79"/>
      <c r="S25" s="80"/>
      <c r="T25" s="81"/>
      <c r="U25" s="79"/>
      <c r="V25" s="80"/>
      <c r="W25" s="80"/>
      <c r="X25" s="81"/>
      <c r="Y25" s="61"/>
      <c r="Z25" s="63"/>
      <c r="AA25" s="61"/>
      <c r="AB25" s="63"/>
    </row>
    <row r="26" spans="2:28" ht="19.5" customHeight="1">
      <c r="B26" s="94"/>
      <c r="C26" s="95"/>
      <c r="D26" s="96"/>
      <c r="E26" s="94"/>
      <c r="F26" s="95"/>
      <c r="G26" s="96"/>
      <c r="H26" s="82"/>
      <c r="I26" s="84"/>
      <c r="J26" s="82"/>
      <c r="K26" s="83"/>
      <c r="L26" s="84"/>
      <c r="M26" s="82"/>
      <c r="N26" s="83"/>
      <c r="O26" s="83"/>
      <c r="P26" s="83"/>
      <c r="Q26" s="84"/>
      <c r="R26" s="82"/>
      <c r="S26" s="83"/>
      <c r="T26" s="84"/>
      <c r="U26" s="82"/>
      <c r="V26" s="83"/>
      <c r="W26" s="83"/>
      <c r="X26" s="84"/>
      <c r="Y26" s="70"/>
      <c r="Z26" s="72"/>
      <c r="AA26" s="70"/>
      <c r="AB26" s="72"/>
    </row>
    <row r="27" spans="2:28" ht="19.5" customHeight="1">
      <c r="B27" s="85"/>
      <c r="C27" s="86"/>
      <c r="D27" s="87"/>
      <c r="E27" s="85"/>
      <c r="F27" s="86"/>
      <c r="G27" s="87"/>
      <c r="H27" s="88"/>
      <c r="I27" s="89"/>
      <c r="J27" s="88"/>
      <c r="K27" s="90"/>
      <c r="L27" s="89"/>
      <c r="M27" s="88"/>
      <c r="N27" s="90"/>
      <c r="O27" s="90"/>
      <c r="P27" s="90"/>
      <c r="Q27" s="89"/>
      <c r="R27" s="88"/>
      <c r="S27" s="90"/>
      <c r="T27" s="89"/>
      <c r="U27" s="88"/>
      <c r="V27" s="90"/>
      <c r="W27" s="90"/>
      <c r="X27" s="89"/>
      <c r="Y27" s="54"/>
      <c r="Z27" s="56"/>
      <c r="AA27" s="54"/>
      <c r="AB27" s="56"/>
    </row>
    <row r="28" spans="2:28" ht="19.5" customHeight="1">
      <c r="B28" s="58" t="s">
        <v>40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</row>
    <row r="29" spans="2:28" ht="19.5" customHeight="1">
      <c r="B29" s="54" t="s">
        <v>41</v>
      </c>
      <c r="C29" s="55"/>
      <c r="D29" s="55"/>
      <c r="E29" s="56"/>
      <c r="F29" s="54" t="s">
        <v>42</v>
      </c>
      <c r="G29" s="55"/>
      <c r="H29" s="55"/>
      <c r="I29" s="55"/>
      <c r="J29" s="56"/>
      <c r="K29" s="54" t="s">
        <v>43</v>
      </c>
      <c r="L29" s="55"/>
      <c r="M29" s="55"/>
      <c r="N29" s="56"/>
      <c r="O29" s="54" t="s">
        <v>44</v>
      </c>
      <c r="P29" s="55"/>
      <c r="Q29" s="55"/>
      <c r="R29" s="55"/>
      <c r="S29" s="55"/>
      <c r="T29" s="55"/>
      <c r="U29" s="55"/>
      <c r="V29" s="55"/>
      <c r="W29" s="56"/>
      <c r="X29" s="54" t="s">
        <v>45</v>
      </c>
      <c r="Y29" s="55"/>
      <c r="Z29" s="55"/>
      <c r="AA29" s="55"/>
      <c r="AB29" s="56"/>
    </row>
    <row r="30" spans="2:28" ht="19.5" customHeight="1">
      <c r="B30" s="54" t="s">
        <v>46</v>
      </c>
      <c r="C30" s="55"/>
      <c r="D30" s="55"/>
      <c r="E30" s="56"/>
      <c r="F30" s="54"/>
      <c r="G30" s="55"/>
      <c r="H30" s="55"/>
      <c r="I30" s="55"/>
      <c r="J30" s="56"/>
      <c r="K30" s="54" t="s">
        <v>47</v>
      </c>
      <c r="L30" s="55"/>
      <c r="M30" s="55"/>
      <c r="N30" s="56"/>
      <c r="O30" s="54"/>
      <c r="P30" s="55"/>
      <c r="Q30" s="55"/>
      <c r="R30" s="55"/>
      <c r="S30" s="55"/>
      <c r="T30" s="55"/>
      <c r="U30" s="55"/>
      <c r="V30" s="55"/>
      <c r="W30" s="56"/>
      <c r="X30" s="57"/>
      <c r="Y30" s="58"/>
      <c r="Z30" s="58"/>
      <c r="AA30" s="58"/>
      <c r="AB30" s="59"/>
    </row>
    <row r="31" spans="2:28" ht="19.5" customHeight="1">
      <c r="B31" s="58" t="s">
        <v>48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</row>
    <row r="32" spans="2:28" ht="19.5" customHeight="1">
      <c r="B32" s="57" t="s">
        <v>49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9"/>
    </row>
    <row r="33" spans="2:28" ht="19.5" customHeight="1">
      <c r="B33" s="54" t="s">
        <v>50</v>
      </c>
      <c r="C33" s="55"/>
      <c r="D33" s="55"/>
      <c r="E33" s="55"/>
      <c r="F33" s="55"/>
      <c r="G33" s="55"/>
      <c r="H33" s="56"/>
      <c r="I33" s="54" t="s">
        <v>51</v>
      </c>
      <c r="J33" s="55"/>
      <c r="K33" s="55"/>
      <c r="L33" s="55"/>
      <c r="M33" s="56"/>
      <c r="N33" s="54" t="s">
        <v>52</v>
      </c>
      <c r="O33" s="55"/>
      <c r="P33" s="56"/>
      <c r="Q33" s="54" t="s">
        <v>53</v>
      </c>
      <c r="R33" s="55"/>
      <c r="S33" s="55"/>
      <c r="T33" s="55"/>
      <c r="U33" s="55"/>
      <c r="V33" s="56"/>
      <c r="W33" s="54" t="s">
        <v>54</v>
      </c>
      <c r="X33" s="55"/>
      <c r="Y33" s="55"/>
      <c r="Z33" s="56"/>
      <c r="AA33" s="54" t="s">
        <v>55</v>
      </c>
      <c r="AB33" s="56"/>
    </row>
    <row r="34" spans="2:28" ht="19.5" customHeight="1">
      <c r="B34" s="64" t="s">
        <v>56</v>
      </c>
      <c r="C34" s="65"/>
      <c r="D34" s="65"/>
      <c r="E34" s="65"/>
      <c r="F34" s="65"/>
      <c r="G34" s="65"/>
      <c r="H34" s="66"/>
      <c r="I34" s="73" t="s">
        <v>58</v>
      </c>
      <c r="J34" s="74"/>
      <c r="K34" s="74"/>
      <c r="L34" s="74"/>
      <c r="M34" s="75"/>
      <c r="N34" s="73" t="s">
        <v>59</v>
      </c>
      <c r="O34" s="74"/>
      <c r="P34" s="75"/>
      <c r="Q34" s="73" t="s">
        <v>60</v>
      </c>
      <c r="R34" s="74"/>
      <c r="S34" s="74"/>
      <c r="T34" s="74"/>
      <c r="U34" s="74"/>
      <c r="V34" s="75"/>
      <c r="W34" s="73" t="s">
        <v>61</v>
      </c>
      <c r="X34" s="74"/>
      <c r="Y34" s="74"/>
      <c r="Z34" s="75"/>
      <c r="AA34" s="73" t="s">
        <v>62</v>
      </c>
      <c r="AB34" s="75"/>
    </row>
    <row r="35" spans="2:28" ht="19.5" customHeight="1">
      <c r="B35" s="67" t="s">
        <v>57</v>
      </c>
      <c r="C35" s="68"/>
      <c r="D35" s="68"/>
      <c r="E35" s="68"/>
      <c r="F35" s="68"/>
      <c r="G35" s="68"/>
      <c r="H35" s="69"/>
      <c r="I35" s="76"/>
      <c r="J35" s="77"/>
      <c r="K35" s="77"/>
      <c r="L35" s="77"/>
      <c r="M35" s="78"/>
      <c r="N35" s="76"/>
      <c r="O35" s="77"/>
      <c r="P35" s="78"/>
      <c r="Q35" s="76"/>
      <c r="R35" s="77"/>
      <c r="S35" s="77"/>
      <c r="T35" s="77"/>
      <c r="U35" s="77"/>
      <c r="V35" s="78"/>
      <c r="W35" s="76"/>
      <c r="X35" s="77"/>
      <c r="Y35" s="77"/>
      <c r="Z35" s="78"/>
      <c r="AA35" s="76"/>
      <c r="AB35" s="78"/>
    </row>
    <row r="36" spans="2:28" ht="19.5" customHeight="1">
      <c r="B36" s="4" t="s">
        <v>63</v>
      </c>
      <c r="C36" s="61" t="s">
        <v>65</v>
      </c>
      <c r="D36" s="62"/>
      <c r="E36" s="62"/>
      <c r="F36" s="63"/>
      <c r="G36" s="61" t="s">
        <v>66</v>
      </c>
      <c r="H36" s="63"/>
      <c r="I36" s="61" t="s">
        <v>68</v>
      </c>
      <c r="J36" s="62"/>
      <c r="K36" s="62"/>
      <c r="L36" s="62"/>
      <c r="M36" s="63"/>
      <c r="N36" s="61" t="s">
        <v>70</v>
      </c>
      <c r="O36" s="62"/>
      <c r="P36" s="63"/>
      <c r="Q36" s="61" t="s">
        <v>72</v>
      </c>
      <c r="R36" s="62"/>
      <c r="S36" s="62"/>
      <c r="T36" s="62"/>
      <c r="U36" s="62"/>
      <c r="V36" s="63"/>
      <c r="W36" s="61" t="s">
        <v>74</v>
      </c>
      <c r="X36" s="62"/>
      <c r="Y36" s="62"/>
      <c r="Z36" s="63"/>
      <c r="AA36" s="61" t="s">
        <v>76</v>
      </c>
      <c r="AB36" s="63"/>
    </row>
    <row r="37" spans="2:28" ht="19.5" customHeight="1">
      <c r="B37" s="5" t="s">
        <v>64</v>
      </c>
      <c r="C37" s="70" t="s">
        <v>23</v>
      </c>
      <c r="D37" s="71"/>
      <c r="E37" s="71"/>
      <c r="F37" s="72"/>
      <c r="G37" s="70" t="s">
        <v>67</v>
      </c>
      <c r="H37" s="72"/>
      <c r="I37" s="70" t="s">
        <v>69</v>
      </c>
      <c r="J37" s="71"/>
      <c r="K37" s="71"/>
      <c r="L37" s="71"/>
      <c r="M37" s="72"/>
      <c r="N37" s="70" t="s">
        <v>71</v>
      </c>
      <c r="O37" s="71"/>
      <c r="P37" s="72"/>
      <c r="Q37" s="70" t="s">
        <v>73</v>
      </c>
      <c r="R37" s="71"/>
      <c r="S37" s="71"/>
      <c r="T37" s="71"/>
      <c r="U37" s="71"/>
      <c r="V37" s="72"/>
      <c r="W37" s="70" t="s">
        <v>75</v>
      </c>
      <c r="X37" s="71"/>
      <c r="Y37" s="71"/>
      <c r="Z37" s="72"/>
      <c r="AA37" s="70" t="s">
        <v>77</v>
      </c>
      <c r="AB37" s="72"/>
    </row>
    <row r="38" spans="2:28" ht="19.5" customHeight="1">
      <c r="B38" s="6"/>
      <c r="C38" s="57"/>
      <c r="D38" s="58"/>
      <c r="E38" s="58"/>
      <c r="F38" s="59"/>
      <c r="G38" s="57"/>
      <c r="H38" s="59"/>
      <c r="I38" s="57"/>
      <c r="J38" s="58"/>
      <c r="K38" s="58"/>
      <c r="L38" s="58"/>
      <c r="M38" s="59"/>
      <c r="N38" s="57"/>
      <c r="O38" s="58"/>
      <c r="P38" s="59"/>
      <c r="Q38" s="57"/>
      <c r="R38" s="58"/>
      <c r="S38" s="58"/>
      <c r="T38" s="58"/>
      <c r="U38" s="58"/>
      <c r="V38" s="59"/>
      <c r="W38" s="57"/>
      <c r="X38" s="58"/>
      <c r="Y38" s="58"/>
      <c r="Z38" s="59"/>
      <c r="AA38" s="57"/>
      <c r="AB38" s="59"/>
    </row>
    <row r="39" spans="2:28" ht="19.5" customHeight="1">
      <c r="B39" s="61" t="s">
        <v>78</v>
      </c>
      <c r="C39" s="62"/>
      <c r="D39" s="62"/>
      <c r="E39" s="62"/>
      <c r="F39" s="62"/>
      <c r="G39" s="62"/>
      <c r="H39" s="63"/>
      <c r="I39" s="64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6"/>
    </row>
    <row r="40" spans="2:28" ht="19.5" customHeight="1">
      <c r="B40" s="70" t="s">
        <v>79</v>
      </c>
      <c r="C40" s="71"/>
      <c r="D40" s="71"/>
      <c r="E40" s="71"/>
      <c r="F40" s="71"/>
      <c r="G40" s="71"/>
      <c r="H40" s="72"/>
      <c r="I40" s="67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9"/>
    </row>
    <row r="41" spans="2:28" ht="19.5" customHeight="1">
      <c r="B41" s="61" t="s">
        <v>80</v>
      </c>
      <c r="C41" s="62"/>
      <c r="D41" s="62"/>
      <c r="E41" s="62"/>
      <c r="F41" s="62"/>
      <c r="G41" s="62"/>
      <c r="H41" s="63"/>
      <c r="I41" s="64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6"/>
    </row>
    <row r="42" spans="2:28" ht="19.5" customHeight="1">
      <c r="B42" s="70" t="s">
        <v>81</v>
      </c>
      <c r="C42" s="71"/>
      <c r="D42" s="71"/>
      <c r="E42" s="71"/>
      <c r="F42" s="71"/>
      <c r="G42" s="71"/>
      <c r="H42" s="72"/>
      <c r="I42" s="67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9"/>
    </row>
    <row r="43" spans="2:28" ht="19.5" customHeight="1">
      <c r="B43" s="54" t="s">
        <v>82</v>
      </c>
      <c r="C43" s="55"/>
      <c r="D43" s="55"/>
      <c r="E43" s="55"/>
      <c r="F43" s="55"/>
      <c r="G43" s="55"/>
      <c r="H43" s="56"/>
      <c r="I43" s="57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9"/>
    </row>
    <row r="44" spans="2:28" ht="19.5" customHeight="1">
      <c r="B44" s="54" t="s">
        <v>83</v>
      </c>
      <c r="C44" s="55"/>
      <c r="D44" s="55"/>
      <c r="E44" s="55"/>
      <c r="F44" s="55"/>
      <c r="G44" s="55"/>
      <c r="H44" s="56"/>
      <c r="I44" s="57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9"/>
    </row>
    <row r="45" spans="2:28" ht="19.5" customHeight="1">
      <c r="B45" s="57" t="s">
        <v>84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9"/>
    </row>
    <row r="46" spans="2:28" ht="19.5" customHeight="1">
      <c r="B46" s="60" t="s">
        <v>85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</row>
    <row r="47" spans="2:28" ht="19.5" customHeight="1">
      <c r="B47" s="53" t="s">
        <v>86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 spans="2:28" ht="19.5" customHeight="1">
      <c r="B48" s="53" t="s">
        <v>87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 spans="2:28" ht="19.5" customHeight="1">
      <c r="B49" s="53" t="s">
        <v>88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 spans="2:28" ht="19.5" customHeight="1">
      <c r="B50" s="53" t="s">
        <v>89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</sheetData>
  <mergeCells count="178">
    <mergeCell ref="B2:O2"/>
    <mergeCell ref="P2:AB2"/>
    <mergeCell ref="B3:O4"/>
    <mergeCell ref="P3:R3"/>
    <mergeCell ref="S3:U3"/>
    <mergeCell ref="V3:Y3"/>
    <mergeCell ref="Z3:AA3"/>
    <mergeCell ref="P4:R4"/>
    <mergeCell ref="S4:U4"/>
    <mergeCell ref="V4:Y4"/>
    <mergeCell ref="B9:C9"/>
    <mergeCell ref="D9:K9"/>
    <mergeCell ref="L9:S9"/>
    <mergeCell ref="T9:AB9"/>
    <mergeCell ref="B10:C10"/>
    <mergeCell ref="D10:K10"/>
    <mergeCell ref="L10:S10"/>
    <mergeCell ref="T10:AB10"/>
    <mergeCell ref="Z4:AA4"/>
    <mergeCell ref="B5:O5"/>
    <mergeCell ref="P5:AB5"/>
    <mergeCell ref="B6:AB6"/>
    <mergeCell ref="B7:AB7"/>
    <mergeCell ref="B8:C8"/>
    <mergeCell ref="D8:K8"/>
    <mergeCell ref="L8:S8"/>
    <mergeCell ref="T8:AB8"/>
    <mergeCell ref="B13:C13"/>
    <mergeCell ref="D13:K13"/>
    <mergeCell ref="L13:S13"/>
    <mergeCell ref="T13:AB13"/>
    <mergeCell ref="B14:AB14"/>
    <mergeCell ref="B15:AB15"/>
    <mergeCell ref="B11:C11"/>
    <mergeCell ref="D11:K11"/>
    <mergeCell ref="L11:S11"/>
    <mergeCell ref="T11:AB11"/>
    <mergeCell ref="B12:C12"/>
    <mergeCell ref="D12:K12"/>
    <mergeCell ref="L12:S12"/>
    <mergeCell ref="T12:AB12"/>
    <mergeCell ref="B16:AB16"/>
    <mergeCell ref="B17:D17"/>
    <mergeCell ref="E17:G17"/>
    <mergeCell ref="H17:I17"/>
    <mergeCell ref="J17:L17"/>
    <mergeCell ref="M17:Q17"/>
    <mergeCell ref="R17:T17"/>
    <mergeCell ref="U17:X17"/>
    <mergeCell ref="Y17:AB17"/>
    <mergeCell ref="B19:D22"/>
    <mergeCell ref="E19:G22"/>
    <mergeCell ref="H19:I22"/>
    <mergeCell ref="J19:L22"/>
    <mergeCell ref="M19:Q19"/>
    <mergeCell ref="R19:T19"/>
    <mergeCell ref="U19:X19"/>
    <mergeCell ref="B18:D18"/>
    <mergeCell ref="E18:G18"/>
    <mergeCell ref="H18:I18"/>
    <mergeCell ref="J18:L18"/>
    <mergeCell ref="M18:Q18"/>
    <mergeCell ref="R18:T18"/>
    <mergeCell ref="M21:Q21"/>
    <mergeCell ref="R21:T21"/>
    <mergeCell ref="U21:X21"/>
    <mergeCell ref="Y19:Z19"/>
    <mergeCell ref="AA19:AB19"/>
    <mergeCell ref="M20:Q20"/>
    <mergeCell ref="R20:T20"/>
    <mergeCell ref="U20:X20"/>
    <mergeCell ref="Y20:Z20"/>
    <mergeCell ref="AA20:AB20"/>
    <mergeCell ref="U18:X18"/>
    <mergeCell ref="Y18:Z18"/>
    <mergeCell ref="AA18:AB18"/>
    <mergeCell ref="Y21:Z21"/>
    <mergeCell ref="AA21:AB21"/>
    <mergeCell ref="M22:Q22"/>
    <mergeCell ref="R22:T22"/>
    <mergeCell ref="U22:X22"/>
    <mergeCell ref="Y22:Z22"/>
    <mergeCell ref="AA22:AB22"/>
    <mergeCell ref="U23:X23"/>
    <mergeCell ref="Y23:Z23"/>
    <mergeCell ref="AA23:AB23"/>
    <mergeCell ref="M24:Q24"/>
    <mergeCell ref="R24:T24"/>
    <mergeCell ref="U24:X24"/>
    <mergeCell ref="Y24:Z24"/>
    <mergeCell ref="AA24:AB24"/>
    <mergeCell ref="B23:D24"/>
    <mergeCell ref="E23:G24"/>
    <mergeCell ref="H23:I24"/>
    <mergeCell ref="J23:L24"/>
    <mergeCell ref="M23:Q23"/>
    <mergeCell ref="R23:T23"/>
    <mergeCell ref="U25:X26"/>
    <mergeCell ref="Y25:Z26"/>
    <mergeCell ref="AA25:AB26"/>
    <mergeCell ref="B27:D27"/>
    <mergeCell ref="E27:G27"/>
    <mergeCell ref="H27:I27"/>
    <mergeCell ref="J27:L27"/>
    <mergeCell ref="M27:Q27"/>
    <mergeCell ref="R27:T27"/>
    <mergeCell ref="U27:X27"/>
    <mergeCell ref="B25:D26"/>
    <mergeCell ref="E25:G26"/>
    <mergeCell ref="H25:I26"/>
    <mergeCell ref="J25:L26"/>
    <mergeCell ref="M25:Q26"/>
    <mergeCell ref="R25:T26"/>
    <mergeCell ref="B30:E30"/>
    <mergeCell ref="F30:J30"/>
    <mergeCell ref="K30:N30"/>
    <mergeCell ref="O30:W30"/>
    <mergeCell ref="X30:AB30"/>
    <mergeCell ref="B31:AB31"/>
    <mergeCell ref="Y27:Z27"/>
    <mergeCell ref="AA27:AB27"/>
    <mergeCell ref="B28:AB28"/>
    <mergeCell ref="B29:E29"/>
    <mergeCell ref="F29:J29"/>
    <mergeCell ref="K29:N29"/>
    <mergeCell ref="O29:W29"/>
    <mergeCell ref="X29:AB29"/>
    <mergeCell ref="B34:H34"/>
    <mergeCell ref="I34:M35"/>
    <mergeCell ref="N34:P35"/>
    <mergeCell ref="Q34:V35"/>
    <mergeCell ref="W34:Z35"/>
    <mergeCell ref="AA34:AB35"/>
    <mergeCell ref="B35:H35"/>
    <mergeCell ref="B32:AB32"/>
    <mergeCell ref="B33:H33"/>
    <mergeCell ref="I33:M33"/>
    <mergeCell ref="N33:P33"/>
    <mergeCell ref="Q33:V33"/>
    <mergeCell ref="W33:Z33"/>
    <mergeCell ref="AA33:AB33"/>
    <mergeCell ref="AA36:AB36"/>
    <mergeCell ref="C37:F37"/>
    <mergeCell ref="G37:H37"/>
    <mergeCell ref="I37:M37"/>
    <mergeCell ref="N37:P37"/>
    <mergeCell ref="Q37:V37"/>
    <mergeCell ref="W37:Z37"/>
    <mergeCell ref="AA37:AB37"/>
    <mergeCell ref="C36:F36"/>
    <mergeCell ref="G36:H36"/>
    <mergeCell ref="I36:M36"/>
    <mergeCell ref="N36:P36"/>
    <mergeCell ref="Q36:V36"/>
    <mergeCell ref="W36:Z36"/>
    <mergeCell ref="AA38:AB38"/>
    <mergeCell ref="B39:H39"/>
    <mergeCell ref="I39:AB40"/>
    <mergeCell ref="B40:H40"/>
    <mergeCell ref="B41:H41"/>
    <mergeCell ref="I41:AB42"/>
    <mergeCell ref="B42:H42"/>
    <mergeCell ref="C38:F38"/>
    <mergeCell ref="G38:H38"/>
    <mergeCell ref="I38:M38"/>
    <mergeCell ref="N38:P38"/>
    <mergeCell ref="Q38:V38"/>
    <mergeCell ref="W38:Z38"/>
    <mergeCell ref="B47:AB47"/>
    <mergeCell ref="B48:AB48"/>
    <mergeCell ref="B49:AB49"/>
    <mergeCell ref="B50:AB50"/>
    <mergeCell ref="B43:H43"/>
    <mergeCell ref="I43:AB43"/>
    <mergeCell ref="B44:H44"/>
    <mergeCell ref="I44:AB44"/>
    <mergeCell ref="B45:AB45"/>
    <mergeCell ref="B46:AB46"/>
  </mergeCells>
  <phoneticPr fontId="8" type="noConversion"/>
  <pageMargins left="0.7" right="0.7" top="0.75" bottom="0.75" header="0.3" footer="0.3"/>
  <pageSetup paperSize="9" scale="7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DEB4-EDAB-41D5-B821-702681B70163}">
  <sheetPr>
    <pageSetUpPr fitToPage="1"/>
  </sheetPr>
  <dimension ref="A1:O23"/>
  <sheetViews>
    <sheetView workbookViewId="0">
      <selection activeCell="I10" sqref="I10"/>
    </sheetView>
  </sheetViews>
  <sheetFormatPr defaultRowHeight="16.5"/>
  <cols>
    <col min="1" max="1" width="22.75" customWidth="1"/>
    <col min="2" max="15" width="10.875" customWidth="1"/>
    <col min="16" max="16" width="14.125" customWidth="1"/>
  </cols>
  <sheetData>
    <row r="1" spans="1:15" ht="27" customHeight="1">
      <c r="A1" s="133" t="s">
        <v>153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5" ht="27" customHeight="1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</row>
    <row r="3" spans="1:15" ht="27" customHeight="1">
      <c r="A3" s="134" t="s">
        <v>152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</row>
    <row r="4" spans="1:15" ht="27" customHeight="1" thickBot="1">
      <c r="A4" s="157" t="s">
        <v>151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</row>
    <row r="5" spans="1:15" ht="18.75" customHeight="1">
      <c r="A5" s="135" t="s">
        <v>150</v>
      </c>
      <c r="B5" s="138" t="s">
        <v>149</v>
      </c>
      <c r="C5" s="139"/>
      <c r="D5" s="154" t="s">
        <v>148</v>
      </c>
      <c r="E5" s="138" t="s">
        <v>147</v>
      </c>
      <c r="F5" s="144"/>
      <c r="G5" s="144"/>
      <c r="H5" s="139"/>
      <c r="I5" s="32" t="s">
        <v>146</v>
      </c>
      <c r="J5" s="32" t="s">
        <v>145</v>
      </c>
      <c r="K5" s="147" t="s">
        <v>144</v>
      </c>
      <c r="L5" s="148"/>
      <c r="M5" s="149"/>
      <c r="N5" s="32" t="s">
        <v>143</v>
      </c>
      <c r="O5" s="150" t="s">
        <v>142</v>
      </c>
    </row>
    <row r="6" spans="1:15" ht="18.75" customHeight="1">
      <c r="A6" s="136"/>
      <c r="B6" s="140"/>
      <c r="C6" s="141"/>
      <c r="D6" s="155"/>
      <c r="E6" s="140"/>
      <c r="F6" s="145"/>
      <c r="G6" s="145"/>
      <c r="H6" s="141"/>
      <c r="I6" s="30" t="s">
        <v>38</v>
      </c>
      <c r="J6" s="30" t="s">
        <v>141</v>
      </c>
      <c r="K6" s="31" t="s">
        <v>140</v>
      </c>
      <c r="L6" s="31" t="s">
        <v>139</v>
      </c>
      <c r="M6" s="31" t="s">
        <v>138</v>
      </c>
      <c r="N6" s="30" t="s">
        <v>137</v>
      </c>
      <c r="O6" s="151"/>
    </row>
    <row r="7" spans="1:15" ht="18" customHeight="1">
      <c r="A7" s="136"/>
      <c r="B7" s="142"/>
      <c r="C7" s="143"/>
      <c r="D7" s="155"/>
      <c r="E7" s="142"/>
      <c r="F7" s="146"/>
      <c r="G7" s="146"/>
      <c r="H7" s="143"/>
      <c r="I7" s="155" t="s">
        <v>134</v>
      </c>
      <c r="J7" s="155" t="s">
        <v>134</v>
      </c>
      <c r="K7" s="155" t="s">
        <v>134</v>
      </c>
      <c r="L7" s="30" t="s">
        <v>136</v>
      </c>
      <c r="M7" s="155" t="s">
        <v>135</v>
      </c>
      <c r="N7" s="155" t="s">
        <v>134</v>
      </c>
      <c r="O7" s="151"/>
    </row>
    <row r="8" spans="1:15" ht="37.5" customHeight="1">
      <c r="A8" s="137"/>
      <c r="B8" s="26" t="s">
        <v>133</v>
      </c>
      <c r="C8" s="26" t="s">
        <v>132</v>
      </c>
      <c r="D8" s="156"/>
      <c r="E8" s="26"/>
      <c r="F8" s="26"/>
      <c r="G8" s="26"/>
      <c r="H8" s="26"/>
      <c r="I8" s="156"/>
      <c r="J8" s="156"/>
      <c r="K8" s="156"/>
      <c r="L8" s="29" t="s">
        <v>131</v>
      </c>
      <c r="M8" s="156"/>
      <c r="N8" s="156"/>
      <c r="O8" s="152"/>
    </row>
    <row r="9" spans="1:15" ht="27" customHeight="1">
      <c r="A9" s="33">
        <v>46027</v>
      </c>
      <c r="B9" s="28"/>
      <c r="C9" s="26" t="s">
        <v>130</v>
      </c>
      <c r="D9" s="26" t="s">
        <v>129</v>
      </c>
      <c r="E9" s="28"/>
      <c r="F9" s="28"/>
      <c r="G9" s="28"/>
      <c r="H9" s="28"/>
      <c r="I9" s="26">
        <v>757</v>
      </c>
      <c r="J9" s="28"/>
      <c r="K9" s="28"/>
      <c r="L9" s="28"/>
      <c r="M9" s="28"/>
      <c r="N9" s="28"/>
      <c r="O9" s="27"/>
    </row>
    <row r="10" spans="1:15" ht="27" customHeight="1">
      <c r="A10" s="33">
        <v>46028</v>
      </c>
      <c r="B10" s="28"/>
      <c r="C10" s="26" t="s">
        <v>130</v>
      </c>
      <c r="D10" s="26" t="s">
        <v>129</v>
      </c>
      <c r="E10" s="28"/>
      <c r="F10" s="28"/>
      <c r="G10" s="28"/>
      <c r="H10" s="28"/>
      <c r="I10" s="26">
        <f ca="1">IF(OR(ISNUMBER(SEARCH("토요일",$A10)),ISNUMBER(SEARCH("일요일",$A10))), $I$9 + RANDBETWEEN(1,5), $I$9)</f>
        <v>757</v>
      </c>
      <c r="J10" s="28"/>
      <c r="K10" s="28"/>
      <c r="L10" s="28"/>
      <c r="M10" s="28"/>
      <c r="N10" s="28"/>
      <c r="O10" s="27"/>
    </row>
    <row r="11" spans="1:15" ht="27" customHeight="1">
      <c r="A11" s="33">
        <v>46029</v>
      </c>
      <c r="B11" s="28"/>
      <c r="C11" s="26" t="s">
        <v>130</v>
      </c>
      <c r="D11" s="26" t="s">
        <v>129</v>
      </c>
      <c r="E11" s="28"/>
      <c r="F11" s="28"/>
      <c r="G11" s="28"/>
      <c r="H11" s="28"/>
      <c r="I11" s="26">
        <f t="shared" ref="I11:I22" ca="1" si="0">IF(OR(ISNUMBER(SEARCH("토요일",$A11)),ISNUMBER(SEARCH("일요일",$A11))), $I$9 + RANDBETWEEN(1,5), $I$9)</f>
        <v>757</v>
      </c>
      <c r="J11" s="28"/>
      <c r="K11" s="28"/>
      <c r="L11" s="28"/>
      <c r="M11" s="28"/>
      <c r="N11" s="28"/>
      <c r="O11" s="27"/>
    </row>
    <row r="12" spans="1:15" ht="27" customHeight="1">
      <c r="A12" s="33">
        <v>46030</v>
      </c>
      <c r="B12" s="28"/>
      <c r="C12" s="26" t="s">
        <v>130</v>
      </c>
      <c r="D12" s="26" t="s">
        <v>129</v>
      </c>
      <c r="E12" s="28"/>
      <c r="F12" s="28"/>
      <c r="G12" s="28"/>
      <c r="H12" s="28"/>
      <c r="I12" s="26">
        <f t="shared" ca="1" si="0"/>
        <v>757</v>
      </c>
      <c r="J12" s="28"/>
      <c r="K12" s="28"/>
      <c r="L12" s="28"/>
      <c r="M12" s="28"/>
      <c r="N12" s="28"/>
      <c r="O12" s="27"/>
    </row>
    <row r="13" spans="1:15" ht="27" customHeight="1">
      <c r="A13" s="33">
        <v>46031</v>
      </c>
      <c r="B13" s="28"/>
      <c r="C13" s="26" t="s">
        <v>130</v>
      </c>
      <c r="D13" s="26" t="s">
        <v>129</v>
      </c>
      <c r="E13" s="28"/>
      <c r="F13" s="28"/>
      <c r="G13" s="28"/>
      <c r="H13" s="28"/>
      <c r="I13" s="26">
        <f t="shared" ca="1" si="0"/>
        <v>757</v>
      </c>
      <c r="J13" s="28"/>
      <c r="K13" s="28"/>
      <c r="L13" s="28"/>
      <c r="M13" s="28"/>
      <c r="N13" s="28"/>
      <c r="O13" s="27"/>
    </row>
    <row r="14" spans="1:15" ht="27" customHeight="1">
      <c r="A14" s="33">
        <v>46032</v>
      </c>
      <c r="B14" s="28"/>
      <c r="C14" s="26" t="s">
        <v>130</v>
      </c>
      <c r="D14" s="26" t="s">
        <v>129</v>
      </c>
      <c r="E14" s="28"/>
      <c r="F14" s="28"/>
      <c r="G14" s="28"/>
      <c r="H14" s="28"/>
      <c r="I14" s="26">
        <f t="shared" ca="1" si="0"/>
        <v>757</v>
      </c>
      <c r="J14" s="28"/>
      <c r="K14" s="28"/>
      <c r="L14" s="28"/>
      <c r="M14" s="28"/>
      <c r="N14" s="28"/>
      <c r="O14" s="27"/>
    </row>
    <row r="15" spans="1:15" ht="27" customHeight="1">
      <c r="A15" s="33">
        <v>46033</v>
      </c>
      <c r="B15" s="28"/>
      <c r="C15" s="26" t="s">
        <v>130</v>
      </c>
      <c r="D15" s="26" t="s">
        <v>129</v>
      </c>
      <c r="E15" s="28"/>
      <c r="F15" s="28"/>
      <c r="G15" s="28"/>
      <c r="H15" s="28"/>
      <c r="I15" s="26">
        <f t="shared" ca="1" si="0"/>
        <v>757</v>
      </c>
      <c r="J15" s="28"/>
      <c r="K15" s="28"/>
      <c r="L15" s="28"/>
      <c r="M15" s="28"/>
      <c r="N15" s="28"/>
      <c r="O15" s="27"/>
    </row>
    <row r="16" spans="1:15" ht="27" customHeight="1">
      <c r="A16" s="33">
        <v>46034</v>
      </c>
      <c r="B16" s="28"/>
      <c r="C16" s="26" t="s">
        <v>130</v>
      </c>
      <c r="D16" s="26" t="s">
        <v>129</v>
      </c>
      <c r="E16" s="28"/>
      <c r="F16" s="28"/>
      <c r="G16" s="28"/>
      <c r="H16" s="28"/>
      <c r="I16" s="26">
        <f t="shared" ca="1" si="0"/>
        <v>757</v>
      </c>
      <c r="J16" s="28"/>
      <c r="K16" s="28"/>
      <c r="L16" s="28"/>
      <c r="M16" s="28"/>
      <c r="N16" s="28"/>
      <c r="O16" s="27"/>
    </row>
    <row r="17" spans="1:15" ht="27" customHeight="1">
      <c r="A17" s="33">
        <v>46035</v>
      </c>
      <c r="B17" s="28"/>
      <c r="C17" s="26" t="s">
        <v>130</v>
      </c>
      <c r="D17" s="26" t="s">
        <v>129</v>
      </c>
      <c r="E17" s="28"/>
      <c r="F17" s="28"/>
      <c r="G17" s="28"/>
      <c r="H17" s="28"/>
      <c r="I17" s="26">
        <f t="shared" ca="1" si="0"/>
        <v>757</v>
      </c>
      <c r="J17" s="28"/>
      <c r="K17" s="28"/>
      <c r="L17" s="28"/>
      <c r="M17" s="28"/>
      <c r="N17" s="28"/>
      <c r="O17" s="27"/>
    </row>
    <row r="18" spans="1:15" ht="27" customHeight="1">
      <c r="A18" s="33">
        <v>46036</v>
      </c>
      <c r="B18" s="28"/>
      <c r="C18" s="26" t="s">
        <v>130</v>
      </c>
      <c r="D18" s="26" t="s">
        <v>129</v>
      </c>
      <c r="E18" s="28"/>
      <c r="F18" s="28"/>
      <c r="G18" s="28"/>
      <c r="H18" s="28"/>
      <c r="I18" s="26">
        <f t="shared" ca="1" si="0"/>
        <v>757</v>
      </c>
      <c r="J18" s="28"/>
      <c r="K18" s="28"/>
      <c r="L18" s="28"/>
      <c r="M18" s="28"/>
      <c r="N18" s="28"/>
      <c r="O18" s="27"/>
    </row>
    <row r="19" spans="1:15" ht="27" customHeight="1">
      <c r="A19" s="33">
        <v>46037</v>
      </c>
      <c r="B19" s="25"/>
      <c r="C19" s="26" t="s">
        <v>130</v>
      </c>
      <c r="D19" s="26" t="s">
        <v>129</v>
      </c>
      <c r="E19" s="25"/>
      <c r="F19" s="25"/>
      <c r="G19" s="25"/>
      <c r="H19" s="25"/>
      <c r="I19" s="26">
        <f t="shared" ca="1" si="0"/>
        <v>757</v>
      </c>
      <c r="J19" s="25"/>
      <c r="K19" s="25"/>
      <c r="L19" s="25"/>
      <c r="M19" s="25"/>
      <c r="N19" s="25"/>
      <c r="O19" s="24"/>
    </row>
    <row r="20" spans="1:15" ht="27" customHeight="1">
      <c r="A20" s="33">
        <v>46038</v>
      </c>
      <c r="B20" s="25"/>
      <c r="C20" s="26" t="s">
        <v>130</v>
      </c>
      <c r="D20" s="26" t="s">
        <v>129</v>
      </c>
      <c r="E20" s="25"/>
      <c r="F20" s="25"/>
      <c r="G20" s="25"/>
      <c r="H20" s="25"/>
      <c r="I20" s="26">
        <f t="shared" ca="1" si="0"/>
        <v>757</v>
      </c>
      <c r="J20" s="25"/>
      <c r="K20" s="25"/>
      <c r="L20" s="25"/>
      <c r="M20" s="25"/>
      <c r="N20" s="25"/>
      <c r="O20" s="24"/>
    </row>
    <row r="21" spans="1:15" ht="27" customHeight="1">
      <c r="A21" s="33">
        <v>46039</v>
      </c>
      <c r="B21" s="25"/>
      <c r="C21" s="26" t="s">
        <v>130</v>
      </c>
      <c r="D21" s="26" t="s">
        <v>129</v>
      </c>
      <c r="E21" s="25"/>
      <c r="F21" s="25"/>
      <c r="G21" s="25"/>
      <c r="H21" s="25"/>
      <c r="I21" s="26">
        <f t="shared" ca="1" si="0"/>
        <v>757</v>
      </c>
      <c r="J21" s="25"/>
      <c r="K21" s="25"/>
      <c r="L21" s="25"/>
      <c r="M21" s="25"/>
      <c r="N21" s="25"/>
      <c r="O21" s="24"/>
    </row>
    <row r="22" spans="1:15" ht="27" customHeight="1" thickBot="1">
      <c r="A22" s="33">
        <v>46040</v>
      </c>
      <c r="B22" s="25"/>
      <c r="C22" s="26" t="s">
        <v>130</v>
      </c>
      <c r="D22" s="26" t="s">
        <v>129</v>
      </c>
      <c r="E22" s="25"/>
      <c r="F22" s="25"/>
      <c r="G22" s="25"/>
      <c r="H22" s="25"/>
      <c r="I22" s="26">
        <f t="shared" ca="1" si="0"/>
        <v>757</v>
      </c>
      <c r="J22" s="25"/>
      <c r="K22" s="25"/>
      <c r="L22" s="25"/>
      <c r="M22" s="25"/>
      <c r="N22" s="25"/>
      <c r="O22" s="24"/>
    </row>
    <row r="23" spans="1:15" ht="27" customHeight="1">
      <c r="A23" s="153" t="s">
        <v>128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</row>
  </sheetData>
  <mergeCells count="15">
    <mergeCell ref="A23:O23"/>
    <mergeCell ref="D5:D8"/>
    <mergeCell ref="A4:O4"/>
    <mergeCell ref="I7:I8"/>
    <mergeCell ref="J7:J8"/>
    <mergeCell ref="K7:K8"/>
    <mergeCell ref="N7:N8"/>
    <mergeCell ref="M7:M8"/>
    <mergeCell ref="A1:O2"/>
    <mergeCell ref="A3:O3"/>
    <mergeCell ref="A5:A8"/>
    <mergeCell ref="B5:C7"/>
    <mergeCell ref="E5:H7"/>
    <mergeCell ref="K5:M5"/>
    <mergeCell ref="O5:O8"/>
  </mergeCells>
  <phoneticPr fontId="8" type="noConversion"/>
  <pageMargins left="0.7" right="0.7" top="0.75" bottom="0.75" header="0.3" footer="0.3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6AAE-7686-41AF-BED4-68BE20F20999}">
  <sheetPr>
    <pageSetUpPr fitToPage="1"/>
  </sheetPr>
  <dimension ref="A1:S103"/>
  <sheetViews>
    <sheetView topLeftCell="A8" zoomScaleNormal="100" workbookViewId="0">
      <selection activeCell="M17" sqref="M17"/>
    </sheetView>
  </sheetViews>
  <sheetFormatPr defaultRowHeight="16.5"/>
  <cols>
    <col min="1" max="1" width="12.25" style="34" bestFit="1" customWidth="1"/>
    <col min="2" max="2" width="15.625" style="1" customWidth="1"/>
    <col min="3" max="3" width="18.375" style="1" bestFit="1" customWidth="1"/>
    <col min="4" max="4" width="9" style="1" customWidth="1"/>
    <col min="5" max="5" width="15.625" style="1" customWidth="1"/>
    <col min="6" max="6" width="17.625" style="1" customWidth="1"/>
    <col min="7" max="7" width="9" style="1" customWidth="1"/>
    <col min="8" max="8" width="15.625" style="1" customWidth="1"/>
    <col min="9" max="9" width="17.75" style="1" customWidth="1"/>
    <col min="10" max="10" width="9" style="1"/>
    <col min="11" max="11" width="17.625" style="1" customWidth="1"/>
    <col min="12" max="16384" width="9" style="1"/>
  </cols>
  <sheetData>
    <row r="1" spans="1:19" ht="33" customHeight="1">
      <c r="B1" s="1" t="s">
        <v>154</v>
      </c>
      <c r="C1" s="1" t="s">
        <v>155</v>
      </c>
      <c r="D1" s="1" t="s">
        <v>156</v>
      </c>
      <c r="E1" s="1" t="s">
        <v>126</v>
      </c>
      <c r="F1" s="1" t="s">
        <v>157</v>
      </c>
      <c r="G1" s="49" t="s">
        <v>159</v>
      </c>
      <c r="H1" s="50"/>
      <c r="I1" s="50"/>
      <c r="K1" s="1" t="s">
        <v>158</v>
      </c>
      <c r="M1" s="51" t="s">
        <v>160</v>
      </c>
      <c r="N1" s="51"/>
      <c r="O1" s="51"/>
      <c r="P1" s="51"/>
      <c r="Q1" s="51"/>
      <c r="R1" s="51"/>
      <c r="S1" s="51"/>
    </row>
    <row r="2" spans="1:19" ht="33" customHeight="1">
      <c r="B2" s="34">
        <v>46052</v>
      </c>
      <c r="C2" s="34">
        <v>46091</v>
      </c>
      <c r="D2" s="43">
        <v>1573.63</v>
      </c>
      <c r="E2" s="42">
        <v>1693</v>
      </c>
      <c r="F2" s="34">
        <v>46053</v>
      </c>
      <c r="G2" s="50"/>
      <c r="H2" s="50"/>
      <c r="I2" s="50"/>
      <c r="K2" s="34" t="e" cm="1" vm="1">
        <f t="array" aca="1" ref="K2" ca="1">_xlfn.LET(
  _xlpm.s, $F$2,
  _xlpm.e, $C$2,
  _xlpm.all, _xlfn.SEQUENCE(_xlpm.e-_xlpm.s+1,,_xlpm.s,1),
  _xlfn._xlws.FILTER(_xlpm.all, WEEKDAY(_xlpm.all,2)&gt;=6)
)</f>
        <v>#VALUE!</v>
      </c>
      <c r="M2" s="51"/>
      <c r="N2" s="51"/>
      <c r="O2" s="51"/>
      <c r="P2" s="51"/>
      <c r="Q2" s="51"/>
      <c r="R2" s="51"/>
      <c r="S2" s="51"/>
    </row>
    <row r="3" spans="1:19" ht="33" customHeight="1">
      <c r="B3" s="34">
        <f>B2</f>
        <v>46052</v>
      </c>
      <c r="C3" s="34">
        <v>46091</v>
      </c>
      <c r="D3" s="42">
        <v>21816.3</v>
      </c>
      <c r="E3" s="42">
        <v>22044.799999999999</v>
      </c>
      <c r="F3" s="34">
        <f>F2</f>
        <v>46053</v>
      </c>
      <c r="G3" s="50"/>
      <c r="H3" s="50"/>
      <c r="I3" s="50"/>
      <c r="K3" s="34"/>
      <c r="M3" s="51"/>
      <c r="N3" s="51"/>
      <c r="O3" s="51"/>
      <c r="P3" s="51"/>
      <c r="Q3" s="51"/>
      <c r="R3" s="51"/>
      <c r="S3" s="51"/>
    </row>
    <row r="4" spans="1:19" ht="33" customHeight="1">
      <c r="B4" s="34">
        <f>B2</f>
        <v>46052</v>
      </c>
      <c r="C4" s="34">
        <v>46091</v>
      </c>
      <c r="D4" s="42">
        <v>57892.9</v>
      </c>
      <c r="E4" s="42">
        <v>62406</v>
      </c>
      <c r="F4" s="34">
        <f>F2</f>
        <v>46053</v>
      </c>
      <c r="G4" s="50"/>
      <c r="H4" s="50"/>
      <c r="I4" s="50"/>
      <c r="K4" s="34"/>
      <c r="M4" s="51"/>
      <c r="N4" s="51"/>
      <c r="O4" s="51"/>
      <c r="P4" s="51"/>
      <c r="Q4" s="51"/>
      <c r="R4" s="51"/>
      <c r="S4" s="51"/>
    </row>
    <row r="5" spans="1:19" ht="33" customHeight="1">
      <c r="F5" s="34"/>
      <c r="K5" s="34"/>
    </row>
    <row r="6" spans="1:19" ht="33" customHeight="1">
      <c r="B6" s="50" t="s">
        <v>161</v>
      </c>
      <c r="C6" s="50"/>
      <c r="D6" s="50"/>
      <c r="E6" s="50"/>
      <c r="F6" s="50"/>
      <c r="G6" s="50"/>
      <c r="H6" s="50"/>
      <c r="I6" s="50"/>
      <c r="K6" s="34"/>
    </row>
    <row r="7" spans="1:19" ht="33" customHeight="1">
      <c r="B7" s="50"/>
      <c r="C7" s="50"/>
      <c r="D7" s="50"/>
      <c r="E7" s="50"/>
      <c r="F7" s="50"/>
      <c r="G7" s="50"/>
      <c r="H7" s="50"/>
      <c r="I7" s="50"/>
      <c r="K7" s="34"/>
    </row>
    <row r="8" spans="1:19" ht="33" customHeight="1">
      <c r="A8" s="34" cm="1">
        <f t="array" aca="1" ref="A8:B31" ca="1">_xlfn.LET(
  _xlpm.sDate,$B$2, _xlpm.eDate,$C$2, _xlpm.sVal,$D$2, _xlpm.eVal,$E$2,
  _xlpm.hol, _xlfn._xlws.FILTER($K$2:$K$1000, ISNUMBER($K$2:$K$1000)),
  _xlpm.n, NETWORKDAYS(_xlpm.sDate,_xlpm.eDate,_xlpm.hol),
  _xlpm.dates, WORKDAY(_xlpm.sDate-1, _xlfn.SEQUENCE(_xlpm.n), _xlpm.hol),
  _xlpm.total, _xlpm.eVal - _xlpm.sVal,
  _xlpm.base, 2,
  _xlpm.w, _xlpm.base + _xlfn.RANDARRAY(_xlpm.n-1,1),
  _xlpm.inc, _xlpm.total * _xlpm.w / SUM(_xlpm.w),
  _xlpm.vals, _xlfn.VSTACK(_xlpm.sVal, _xlpm.sVal + _xlfn.SCAN(0, _xlpm.inc, _xlfn.LAMBDA(_xlpm.a,_xlpm.b, _xlpm.a+_xlpm.b))),
  _xlfn.HSTACK(_xlpm.dates, _xlpm.vals)
)</f>
        <v>46052</v>
      </c>
      <c r="B8" s="37">
        <f ca="1"/>
        <v>1573.63</v>
      </c>
      <c r="C8" s="38"/>
      <c r="D8" s="1" cm="1">
        <f t="array" aca="1" ref="D8:E31" ca="1">_xlfn.LET(
  _xlpm.sDate,$B$3, _xlpm.eDate,$C$3, _xlpm.sVal,$D$3, _xlpm.eVal,$E$3,
  _xlpm.hol, _xlfn._xlws.FILTER($K$2:$K$1000, ISNUMBER($K$2:$K$1000)),
  _xlpm.n, NETWORKDAYS(_xlpm.sDate,_xlpm.eDate,_xlpm.hol),
  _xlpm.dates, WORKDAY(_xlpm.sDate-1, _xlfn.SEQUENCE(_xlpm.n), _xlpm.hol),
  _xlpm.total, _xlpm.eVal - _xlpm.sVal,
  _xlpm.base, 2,
  _xlpm.w, _xlpm.base + _xlfn.RANDARRAY(_xlpm.n-1,1),
  _xlpm.inc, _xlpm.total * _xlpm.w / SUM(_xlpm.w),
  _xlpm.vals, _xlfn.VSTACK(_xlpm.sVal, _xlpm.sVal + _xlfn.SCAN(0, _xlpm.inc, _xlfn.LAMBDA(_xlpm.a,_xlpm.b, _xlpm.a+_xlpm.b))),
  _xlfn.HSTACK(_xlpm.dates, _xlpm.vals)
)</f>
        <v>46052</v>
      </c>
      <c r="E8" s="40">
        <f ca="1"/>
        <v>21816.3</v>
      </c>
      <c r="F8" s="40"/>
      <c r="G8" s="1" cm="1">
        <f t="array" aca="1" ref="G8:H31" ca="1">_xlfn.LET(
  _xlpm.sDate,$B$4, _xlpm.eDate,$C$4, _xlpm.sVal,$D$4, _xlpm.eVal,$E$4,
  _xlpm.hol, _xlfn._xlws.FILTER($K$2:$K$1000, ISNUMBER($K$2:$K$1000)),
  _xlpm.n, NETWORKDAYS(_xlpm.sDate,_xlpm.eDate,_xlpm.hol),
  _xlpm.dates, WORKDAY(_xlpm.sDate-1, _xlfn.SEQUENCE(_xlpm.n), _xlpm.hol),
  _xlpm.total, _xlpm.eVal - _xlpm.sVal,
  _xlpm.base, 5,
  _xlpm.w, _xlpm.base + _xlfn.RANDARRAY(_xlpm.n-1,1),
  _xlpm.inc, _xlpm.total * _xlpm.w / SUM(_xlpm.w),
  _xlpm.vals, _xlfn.VSTACK(_xlpm.sVal, _xlpm.sVal + _xlfn.SCAN(0, _xlpm.inc, _xlfn.LAMBDA(_xlpm.a,_xlpm.b, _xlpm.a+_xlpm.b))),
  _xlfn.HSTACK(_xlpm.dates, _xlpm.vals)
)</f>
        <v>46052</v>
      </c>
      <c r="H8" s="40">
        <f ca="1"/>
        <v>57892.9</v>
      </c>
      <c r="I8" s="40"/>
      <c r="K8" s="34"/>
      <c r="M8" s="47"/>
      <c r="N8" s="47"/>
      <c r="O8" s="47"/>
      <c r="P8" s="47"/>
      <c r="Q8" s="47"/>
      <c r="R8" s="47"/>
      <c r="S8" s="47"/>
    </row>
    <row r="9" spans="1:19" ht="33" customHeight="1">
      <c r="A9" s="34">
        <f ca="1"/>
        <v>46055</v>
      </c>
      <c r="B9" s="39">
        <f ca="1"/>
        <v>1579.6683094593698</v>
      </c>
      <c r="C9" s="38">
        <f ca="1">B9-B8</f>
        <v>6.0383094593696569</v>
      </c>
      <c r="D9" s="1">
        <f ca="1"/>
        <v>46055</v>
      </c>
      <c r="E9" s="40">
        <f ca="1"/>
        <v>21826.996168030153</v>
      </c>
      <c r="F9" s="40">
        <f ca="1">E9-E8</f>
        <v>10.696168030153785</v>
      </c>
      <c r="G9" s="1">
        <f ca="1"/>
        <v>46055</v>
      </c>
      <c r="H9" s="40">
        <f ca="1"/>
        <v>58097.843355635996</v>
      </c>
      <c r="I9" s="40">
        <f ca="1">H9-H8</f>
        <v>204.94335563599452</v>
      </c>
      <c r="K9" s="34"/>
      <c r="M9" s="47"/>
      <c r="N9" s="47"/>
      <c r="O9" s="47"/>
      <c r="P9" s="47"/>
      <c r="Q9" s="47"/>
      <c r="R9" s="47"/>
      <c r="S9" s="47"/>
    </row>
    <row r="10" spans="1:19" ht="33" customHeight="1">
      <c r="A10" s="34">
        <f ca="1"/>
        <v>46056</v>
      </c>
      <c r="B10" s="39">
        <f ca="1"/>
        <v>1583.9691790586958</v>
      </c>
      <c r="C10" s="38">
        <f t="shared" ref="C10:C60" ca="1" si="0">B10-B9</f>
        <v>4.3008695993260062</v>
      </c>
      <c r="D10" s="1">
        <f ca="1"/>
        <v>46056</v>
      </c>
      <c r="E10" s="40">
        <f ca="1"/>
        <v>21837.238604568411</v>
      </c>
      <c r="F10" s="40">
        <f t="shared" ref="F10:F60" ca="1" si="1">E10-E9</f>
        <v>10.242436538257607</v>
      </c>
      <c r="G10" s="1">
        <f ca="1"/>
        <v>46056</v>
      </c>
      <c r="H10" s="40">
        <f ca="1"/>
        <v>58282.718531851649</v>
      </c>
      <c r="I10" s="40">
        <f t="shared" ref="I10:I60" ca="1" si="2">H10-H9</f>
        <v>184.87517621565348</v>
      </c>
      <c r="K10" s="34"/>
      <c r="M10" s="47"/>
      <c r="N10" s="47"/>
      <c r="O10" s="47"/>
      <c r="P10" s="47"/>
      <c r="Q10" s="47"/>
      <c r="R10" s="47"/>
      <c r="S10" s="47"/>
    </row>
    <row r="11" spans="1:19" ht="33" customHeight="1">
      <c r="A11" s="34">
        <f ca="1"/>
        <v>46057</v>
      </c>
      <c r="B11" s="39">
        <f ca="1"/>
        <v>1589.4578178986628</v>
      </c>
      <c r="C11" s="38">
        <f t="shared" ca="1" si="0"/>
        <v>5.4886388399670523</v>
      </c>
      <c r="D11" s="1">
        <f ca="1"/>
        <v>46057</v>
      </c>
      <c r="E11" s="40">
        <f ca="1"/>
        <v>21848.499046786037</v>
      </c>
      <c r="F11" s="40">
        <f t="shared" ca="1" si="1"/>
        <v>11.260442217626405</v>
      </c>
      <c r="G11" s="1">
        <f ca="1"/>
        <v>46057</v>
      </c>
      <c r="H11" s="40">
        <f ca="1"/>
        <v>58487.747242103294</v>
      </c>
      <c r="I11" s="40">
        <f t="shared" ca="1" si="2"/>
        <v>205.02871025164495</v>
      </c>
      <c r="K11" s="34"/>
      <c r="M11" s="47"/>
      <c r="N11" s="47"/>
      <c r="O11" s="47"/>
      <c r="P11" s="47"/>
      <c r="Q11" s="47"/>
      <c r="R11" s="47"/>
      <c r="S11" s="47"/>
    </row>
    <row r="12" spans="1:19" ht="33" customHeight="1">
      <c r="A12" s="34">
        <f ca="1"/>
        <v>46058</v>
      </c>
      <c r="B12" s="39">
        <f ca="1"/>
        <v>1594.9521427133586</v>
      </c>
      <c r="C12" s="38">
        <f t="shared" ca="1" si="0"/>
        <v>5.4943248146958013</v>
      </c>
      <c r="D12" s="1">
        <f ca="1"/>
        <v>46058</v>
      </c>
      <c r="E12" s="40">
        <f ca="1"/>
        <v>21857.22255214808</v>
      </c>
      <c r="F12" s="40">
        <f t="shared" ca="1" si="1"/>
        <v>8.7235053620424878</v>
      </c>
      <c r="G12" s="1">
        <f ca="1"/>
        <v>46058</v>
      </c>
      <c r="H12" s="40">
        <f ca="1"/>
        <v>58685.69999493604</v>
      </c>
      <c r="I12" s="40">
        <f t="shared" ca="1" si="2"/>
        <v>197.95275283274532</v>
      </c>
      <c r="K12" s="34"/>
    </row>
    <row r="13" spans="1:19" ht="33" customHeight="1">
      <c r="A13" s="34">
        <f ca="1"/>
        <v>46059</v>
      </c>
      <c r="B13" s="39">
        <f ca="1"/>
        <v>1599.2871284838611</v>
      </c>
      <c r="C13" s="38">
        <f t="shared" ca="1" si="0"/>
        <v>4.3349857705024988</v>
      </c>
      <c r="D13" s="1">
        <f ca="1"/>
        <v>46059</v>
      </c>
      <c r="E13" s="40">
        <f ca="1"/>
        <v>21866.259843908218</v>
      </c>
      <c r="F13" s="40">
        <f t="shared" ca="1" si="1"/>
        <v>9.0372917601380323</v>
      </c>
      <c r="G13" s="1">
        <f ca="1"/>
        <v>46059</v>
      </c>
      <c r="H13" s="40">
        <f ca="1"/>
        <v>58883.635625997093</v>
      </c>
      <c r="I13" s="40">
        <f t="shared" ca="1" si="2"/>
        <v>197.93563106105285</v>
      </c>
      <c r="K13" s="34">
        <v>46069</v>
      </c>
      <c r="M13" s="16">
        <v>57892.9</v>
      </c>
    </row>
    <row r="14" spans="1:19" ht="33" customHeight="1">
      <c r="A14" s="34">
        <f ca="1"/>
        <v>46062</v>
      </c>
      <c r="B14" s="39">
        <f ca="1"/>
        <v>1604.1718025362891</v>
      </c>
      <c r="C14" s="38">
        <f t="shared" ca="1" si="0"/>
        <v>4.8846740524279539</v>
      </c>
      <c r="D14" s="1">
        <f ca="1"/>
        <v>46062</v>
      </c>
      <c r="E14" s="40">
        <f ca="1"/>
        <v>21874.265816525967</v>
      </c>
      <c r="F14" s="40">
        <f t="shared" ca="1" si="1"/>
        <v>8.0059726177496486</v>
      </c>
      <c r="G14" s="1">
        <f ca="1"/>
        <v>46062</v>
      </c>
      <c r="H14" s="40">
        <f ca="1"/>
        <v>59065.235239868853</v>
      </c>
      <c r="I14" s="40">
        <f t="shared" ca="1" si="2"/>
        <v>181.59961387176008</v>
      </c>
      <c r="K14" s="34">
        <v>46070</v>
      </c>
      <c r="M14" s="21">
        <v>62406</v>
      </c>
    </row>
    <row r="15" spans="1:19" ht="33" customHeight="1">
      <c r="A15" s="34">
        <f ca="1"/>
        <v>46063</v>
      </c>
      <c r="B15" s="39">
        <f ca="1"/>
        <v>1609.2745343587042</v>
      </c>
      <c r="C15" s="38">
        <f t="shared" ca="1" si="0"/>
        <v>5.1027318224150804</v>
      </c>
      <c r="D15" s="1">
        <f ca="1"/>
        <v>46063</v>
      </c>
      <c r="E15" s="40">
        <f ca="1"/>
        <v>21885.871911405844</v>
      </c>
      <c r="F15" s="40">
        <f t="shared" ca="1" si="1"/>
        <v>11.606094879876764</v>
      </c>
      <c r="G15" s="1">
        <f ca="1"/>
        <v>46063</v>
      </c>
      <c r="H15" s="40">
        <f ca="1"/>
        <v>59253.857493447053</v>
      </c>
      <c r="I15" s="40">
        <f t="shared" ca="1" si="2"/>
        <v>188.62225357819989</v>
      </c>
      <c r="K15" s="34">
        <v>46071</v>
      </c>
      <c r="M15" s="41"/>
    </row>
    <row r="16" spans="1:19" ht="33" customHeight="1">
      <c r="A16" s="34">
        <f ca="1"/>
        <v>46064</v>
      </c>
      <c r="B16" s="39">
        <f ca="1"/>
        <v>1614.2552409708019</v>
      </c>
      <c r="C16" s="38">
        <f t="shared" ca="1" si="0"/>
        <v>4.9807066120977197</v>
      </c>
      <c r="D16" s="1">
        <f ca="1"/>
        <v>46064</v>
      </c>
      <c r="E16" s="40">
        <f ca="1"/>
        <v>21894.557944362128</v>
      </c>
      <c r="F16" s="40">
        <f t="shared" ca="1" si="1"/>
        <v>8.6860329562841798</v>
      </c>
      <c r="G16" s="1">
        <f ca="1"/>
        <v>46064</v>
      </c>
      <c r="H16" s="40">
        <f ca="1"/>
        <v>59448.979833068406</v>
      </c>
      <c r="I16" s="40">
        <f t="shared" ca="1" si="2"/>
        <v>195.1223396213536</v>
      </c>
      <c r="K16" s="34">
        <v>46083</v>
      </c>
      <c r="M16" s="16">
        <v>1573.6</v>
      </c>
    </row>
    <row r="17" spans="1:13" ht="33" customHeight="1">
      <c r="A17" s="34">
        <f ca="1"/>
        <v>46065</v>
      </c>
      <c r="B17" s="39">
        <f ca="1"/>
        <v>1619.8000963237653</v>
      </c>
      <c r="C17" s="38">
        <f t="shared" ca="1" si="0"/>
        <v>5.5448553529633955</v>
      </c>
      <c r="D17" s="1">
        <f ca="1"/>
        <v>46065</v>
      </c>
      <c r="E17" s="40">
        <f ca="1"/>
        <v>21906.025351653978</v>
      </c>
      <c r="F17" s="40">
        <f t="shared" ca="1" si="1"/>
        <v>11.467407291849668</v>
      </c>
      <c r="G17" s="1">
        <f ca="1"/>
        <v>46065</v>
      </c>
      <c r="H17" s="40">
        <f ca="1"/>
        <v>59646.045175874562</v>
      </c>
      <c r="I17" s="40">
        <f t="shared" ca="1" si="2"/>
        <v>197.06534280615597</v>
      </c>
      <c r="K17" s="34"/>
      <c r="M17" s="21">
        <v>1693</v>
      </c>
    </row>
    <row r="18" spans="1:13" ht="33" customHeight="1">
      <c r="A18" s="34">
        <f ca="1"/>
        <v>46066</v>
      </c>
      <c r="B18" s="39">
        <f ca="1"/>
        <v>1624.4021140566874</v>
      </c>
      <c r="C18" s="38">
        <f t="shared" ca="1" si="0"/>
        <v>4.6020177329221497</v>
      </c>
      <c r="D18" s="1">
        <f ca="1"/>
        <v>46066</v>
      </c>
      <c r="E18" s="40">
        <f ca="1"/>
        <v>21915.071132235855</v>
      </c>
      <c r="F18" s="40">
        <f t="shared" ca="1" si="1"/>
        <v>9.0457805818768975</v>
      </c>
      <c r="G18" s="1">
        <f ca="1"/>
        <v>46066</v>
      </c>
      <c r="H18" s="40">
        <f ca="1"/>
        <v>59825.983548068667</v>
      </c>
      <c r="I18" s="40">
        <f t="shared" ca="1" si="2"/>
        <v>179.93837219410489</v>
      </c>
      <c r="K18" s="34"/>
      <c r="M18" s="41"/>
    </row>
    <row r="19" spans="1:13" ht="33" customHeight="1">
      <c r="A19" s="34">
        <f ca="1"/>
        <v>46072</v>
      </c>
      <c r="B19" s="39">
        <f ca="1"/>
        <v>1630.2601819192034</v>
      </c>
      <c r="C19" s="38">
        <f t="shared" ca="1" si="0"/>
        <v>5.858067862516009</v>
      </c>
      <c r="D19" s="1">
        <f ca="1"/>
        <v>46072</v>
      </c>
      <c r="E19" s="40">
        <f ca="1"/>
        <v>21925.809380710038</v>
      </c>
      <c r="F19" s="40">
        <f t="shared" ca="1" si="1"/>
        <v>10.73824847418291</v>
      </c>
      <c r="G19" s="1">
        <f ca="1"/>
        <v>46072</v>
      </c>
      <c r="H19" s="40">
        <f ca="1"/>
        <v>60041.658115679231</v>
      </c>
      <c r="I19" s="40">
        <f t="shared" ca="1" si="2"/>
        <v>215.67456761056383</v>
      </c>
      <c r="K19" s="34"/>
      <c r="M19" s="16">
        <v>21816.3</v>
      </c>
    </row>
    <row r="20" spans="1:13" ht="33" customHeight="1">
      <c r="A20" s="34">
        <f ca="1"/>
        <v>46073</v>
      </c>
      <c r="B20" s="39">
        <f ca="1"/>
        <v>1634.8227471579723</v>
      </c>
      <c r="C20" s="38">
        <f t="shared" ca="1" si="0"/>
        <v>4.5625652387689115</v>
      </c>
      <c r="D20" s="1">
        <f ca="1"/>
        <v>46073</v>
      </c>
      <c r="E20" s="40">
        <f ca="1"/>
        <v>21936.452810655712</v>
      </c>
      <c r="F20" s="40">
        <f t="shared" ca="1" si="1"/>
        <v>10.643429945674143</v>
      </c>
      <c r="G20" s="1">
        <f ca="1"/>
        <v>46073</v>
      </c>
      <c r="H20" s="40">
        <f ca="1"/>
        <v>60231.920929898821</v>
      </c>
      <c r="I20" s="40">
        <f t="shared" ca="1" si="2"/>
        <v>190.26281421958993</v>
      </c>
      <c r="K20" s="34"/>
      <c r="M20" s="21">
        <v>22044.799999999999</v>
      </c>
    </row>
    <row r="21" spans="1:13" ht="33" customHeight="1">
      <c r="A21" s="34">
        <f ca="1"/>
        <v>46076</v>
      </c>
      <c r="B21" s="39">
        <f ca="1"/>
        <v>1640.5152470662042</v>
      </c>
      <c r="C21" s="38">
        <f t="shared" ca="1" si="0"/>
        <v>5.6924999082318664</v>
      </c>
      <c r="D21" s="1">
        <f ca="1"/>
        <v>46076</v>
      </c>
      <c r="E21" s="40">
        <f ca="1"/>
        <v>21946.622179479375</v>
      </c>
      <c r="F21" s="40">
        <f t="shared" ca="1" si="1"/>
        <v>10.169368823662808</v>
      </c>
      <c r="G21" s="1">
        <f ca="1"/>
        <v>46076</v>
      </c>
      <c r="H21" s="40">
        <f ca="1"/>
        <v>60427.849734639036</v>
      </c>
      <c r="I21" s="40">
        <f t="shared" ca="1" si="2"/>
        <v>195.92880474021513</v>
      </c>
      <c r="K21" s="34"/>
    </row>
    <row r="22" spans="1:13" ht="33" customHeight="1">
      <c r="A22" s="34">
        <f ca="1"/>
        <v>46077</v>
      </c>
      <c r="B22" s="39">
        <f ca="1"/>
        <v>1644.9303202673668</v>
      </c>
      <c r="C22" s="38">
        <f t="shared" ca="1" si="0"/>
        <v>4.4150732011626133</v>
      </c>
      <c r="D22" s="1">
        <f ca="1"/>
        <v>46077</v>
      </c>
      <c r="E22" s="40">
        <f ca="1"/>
        <v>21958.615850309176</v>
      </c>
      <c r="F22" s="40">
        <f t="shared" ca="1" si="1"/>
        <v>11.993670829800976</v>
      </c>
      <c r="G22" s="1">
        <f ca="1"/>
        <v>46077</v>
      </c>
      <c r="H22" s="40">
        <f ca="1"/>
        <v>60627.280340862562</v>
      </c>
      <c r="I22" s="40">
        <f t="shared" ca="1" si="2"/>
        <v>199.43060622352641</v>
      </c>
      <c r="K22" s="34"/>
    </row>
    <row r="23" spans="1:13" ht="33" customHeight="1">
      <c r="A23" s="34">
        <f ca="1"/>
        <v>46078</v>
      </c>
      <c r="B23" s="39">
        <f ca="1"/>
        <v>1650.7779375672053</v>
      </c>
      <c r="C23" s="38">
        <f t="shared" ca="1" si="0"/>
        <v>5.8476172998384754</v>
      </c>
      <c r="D23" s="1">
        <f ca="1"/>
        <v>46078</v>
      </c>
      <c r="E23" s="40">
        <f ca="1"/>
        <v>21967.809324978116</v>
      </c>
      <c r="F23" s="40">
        <f t="shared" ca="1" si="1"/>
        <v>9.1934746689403255</v>
      </c>
      <c r="G23" s="1">
        <f ca="1"/>
        <v>46078</v>
      </c>
      <c r="H23" s="40">
        <f ca="1"/>
        <v>60814.816262809763</v>
      </c>
      <c r="I23" s="40">
        <f t="shared" ca="1" si="2"/>
        <v>187.53592194720113</v>
      </c>
      <c r="K23" s="34"/>
    </row>
    <row r="24" spans="1:13" ht="33" customHeight="1">
      <c r="A24" s="34">
        <f ca="1"/>
        <v>46079</v>
      </c>
      <c r="B24" s="39">
        <f ca="1"/>
        <v>1656.7320227863211</v>
      </c>
      <c r="C24" s="38">
        <f t="shared" ca="1" si="0"/>
        <v>5.9540852191157683</v>
      </c>
      <c r="D24" s="1">
        <f ca="1"/>
        <v>46079</v>
      </c>
      <c r="E24" s="40">
        <f ca="1"/>
        <v>21976.994593581094</v>
      </c>
      <c r="F24" s="40">
        <f t="shared" ca="1" si="1"/>
        <v>9.1852686029778852</v>
      </c>
      <c r="G24" s="1">
        <f ca="1"/>
        <v>46079</v>
      </c>
      <c r="H24" s="40">
        <f ca="1"/>
        <v>61014.840947463737</v>
      </c>
      <c r="I24" s="40">
        <f t="shared" ca="1" si="2"/>
        <v>200.02468465397396</v>
      </c>
      <c r="K24" s="34"/>
    </row>
    <row r="25" spans="1:13" ht="33" customHeight="1">
      <c r="A25" s="34">
        <f ca="1"/>
        <v>46080</v>
      </c>
      <c r="B25" s="39">
        <f ca="1"/>
        <v>1662.2057218803034</v>
      </c>
      <c r="C25" s="38">
        <f t="shared" ca="1" si="0"/>
        <v>5.4736990939823045</v>
      </c>
      <c r="D25" s="1">
        <f ca="1"/>
        <v>46080</v>
      </c>
      <c r="E25" s="40">
        <f ca="1"/>
        <v>21985.340571453482</v>
      </c>
      <c r="F25" s="40">
        <f t="shared" ca="1" si="1"/>
        <v>8.3459778723881755</v>
      </c>
      <c r="G25" s="1">
        <f ca="1"/>
        <v>46080</v>
      </c>
      <c r="H25" s="40">
        <f ca="1"/>
        <v>61215.800200646219</v>
      </c>
      <c r="I25" s="40">
        <f t="shared" ca="1" si="2"/>
        <v>200.95925318248192</v>
      </c>
      <c r="K25" s="34"/>
    </row>
    <row r="26" spans="1:13" ht="33" customHeight="1">
      <c r="A26" s="34">
        <f ca="1"/>
        <v>46084</v>
      </c>
      <c r="B26" s="39">
        <f ca="1"/>
        <v>1668.1819923537248</v>
      </c>
      <c r="C26" s="38">
        <f t="shared" ca="1" si="0"/>
        <v>5.9762704734214367</v>
      </c>
      <c r="D26" s="1">
        <f ca="1"/>
        <v>46084</v>
      </c>
      <c r="E26" s="40">
        <f ca="1"/>
        <v>21994.051803360442</v>
      </c>
      <c r="F26" s="40">
        <f t="shared" ca="1" si="1"/>
        <v>8.7112319069601654</v>
      </c>
      <c r="G26" s="1">
        <f ca="1"/>
        <v>46084</v>
      </c>
      <c r="H26" s="40">
        <f ca="1"/>
        <v>61415.630553823226</v>
      </c>
      <c r="I26" s="40">
        <f t="shared" ca="1" si="2"/>
        <v>199.83035317700705</v>
      </c>
      <c r="K26" s="34"/>
    </row>
    <row r="27" spans="1:13" ht="33" customHeight="1">
      <c r="A27" s="34">
        <f ca="1"/>
        <v>46085</v>
      </c>
      <c r="B27" s="39">
        <f ca="1"/>
        <v>1672.6611689508436</v>
      </c>
      <c r="C27" s="38">
        <f t="shared" ca="1" si="0"/>
        <v>4.4791765971187942</v>
      </c>
      <c r="D27" s="1">
        <f ca="1"/>
        <v>46085</v>
      </c>
      <c r="E27" s="40">
        <f ca="1"/>
        <v>22005.333083060734</v>
      </c>
      <c r="F27" s="40">
        <f t="shared" ca="1" si="1"/>
        <v>11.281279700291634</v>
      </c>
      <c r="G27" s="1">
        <f ca="1"/>
        <v>46085</v>
      </c>
      <c r="H27" s="40">
        <f ca="1"/>
        <v>61623.761173900857</v>
      </c>
      <c r="I27" s="40">
        <f t="shared" ca="1" si="2"/>
        <v>208.13062007763074</v>
      </c>
    </row>
    <row r="28" spans="1:13" ht="33" customHeight="1">
      <c r="A28" s="34">
        <f ca="1"/>
        <v>46086</v>
      </c>
      <c r="B28" s="39">
        <f ca="1"/>
        <v>1677.2523535648443</v>
      </c>
      <c r="C28" s="38">
        <f t="shared" ca="1" si="0"/>
        <v>4.5911846140006674</v>
      </c>
      <c r="D28" s="1">
        <f ca="1"/>
        <v>46086</v>
      </c>
      <c r="E28" s="40">
        <f ca="1"/>
        <v>22014.368420185543</v>
      </c>
      <c r="F28" s="40">
        <f t="shared" ca="1" si="1"/>
        <v>9.0353371248093026</v>
      </c>
      <c r="G28" s="1">
        <f ca="1"/>
        <v>46086</v>
      </c>
      <c r="H28" s="40">
        <f ca="1"/>
        <v>61815.343224305303</v>
      </c>
      <c r="I28" s="40">
        <f t="shared" ca="1" si="2"/>
        <v>191.58205040444591</v>
      </c>
    </row>
    <row r="29" spans="1:13" ht="33" customHeight="1">
      <c r="A29" s="34">
        <f ca="1"/>
        <v>46087</v>
      </c>
      <c r="B29" s="39">
        <f ca="1"/>
        <v>1681.876412499023</v>
      </c>
      <c r="C29" s="38">
        <f t="shared" ca="1" si="0"/>
        <v>4.6240589341787199</v>
      </c>
      <c r="D29" s="1">
        <f ca="1"/>
        <v>46087</v>
      </c>
      <c r="E29" s="40">
        <f ca="1"/>
        <v>22026.104266874019</v>
      </c>
      <c r="F29" s="40">
        <f t="shared" ca="1" si="1"/>
        <v>11.735846688476158</v>
      </c>
      <c r="G29" s="1">
        <f ca="1"/>
        <v>46087</v>
      </c>
      <c r="H29" s="40">
        <f ca="1"/>
        <v>62027.863259202</v>
      </c>
      <c r="I29" s="40">
        <f t="shared" ca="1" si="2"/>
        <v>212.52003489669733</v>
      </c>
    </row>
    <row r="30" spans="1:13" ht="33" customHeight="1">
      <c r="A30" s="34">
        <f ca="1"/>
        <v>46090</v>
      </c>
      <c r="B30" s="39">
        <f ca="1"/>
        <v>1686.8540493871801</v>
      </c>
      <c r="C30" s="38">
        <f t="shared" ca="1" si="0"/>
        <v>4.9776368881571216</v>
      </c>
      <c r="D30" s="1">
        <f ca="1"/>
        <v>46090</v>
      </c>
      <c r="E30" s="40">
        <f ca="1"/>
        <v>22034.597084085482</v>
      </c>
      <c r="F30" s="40">
        <f t="shared" ca="1" si="1"/>
        <v>8.4928172114632616</v>
      </c>
      <c r="G30" s="1">
        <f ca="1"/>
        <v>46090</v>
      </c>
      <c r="H30" s="40">
        <f ca="1"/>
        <v>62224.029300548311</v>
      </c>
      <c r="I30" s="40">
        <f t="shared" ca="1" si="2"/>
        <v>196.16604134631052</v>
      </c>
    </row>
    <row r="31" spans="1:13" ht="33" customHeight="1">
      <c r="A31" s="34">
        <f ca="1"/>
        <v>46091</v>
      </c>
      <c r="B31" s="39">
        <f ca="1"/>
        <v>1693</v>
      </c>
      <c r="C31" s="38">
        <f t="shared" ca="1" si="0"/>
        <v>6.1459506128198882</v>
      </c>
      <c r="D31" s="1">
        <f ca="1"/>
        <v>46091</v>
      </c>
      <c r="E31" s="40">
        <f ca="1"/>
        <v>22044.799999999999</v>
      </c>
      <c r="F31" s="40">
        <f t="shared" ca="1" si="1"/>
        <v>10.20291591451678</v>
      </c>
      <c r="G31" s="1">
        <f ca="1"/>
        <v>46091</v>
      </c>
      <c r="H31" s="40">
        <f ca="1"/>
        <v>62406</v>
      </c>
      <c r="I31" s="40">
        <f t="shared" ca="1" si="2"/>
        <v>181.97069945168914</v>
      </c>
    </row>
    <row r="32" spans="1:13" ht="33" customHeight="1">
      <c r="B32" s="39"/>
      <c r="C32" s="38">
        <f t="shared" ca="1" si="0"/>
        <v>-1693</v>
      </c>
      <c r="E32" s="40"/>
      <c r="F32" s="40">
        <f t="shared" ca="1" si="1"/>
        <v>-22044.799999999999</v>
      </c>
      <c r="H32" s="40"/>
      <c r="I32" s="40">
        <f t="shared" ca="1" si="2"/>
        <v>-62406</v>
      </c>
    </row>
    <row r="33" spans="2:9" ht="33" customHeight="1">
      <c r="B33" s="39"/>
      <c r="C33" s="38">
        <f t="shared" si="0"/>
        <v>0</v>
      </c>
      <c r="E33" s="40"/>
      <c r="F33" s="40">
        <f t="shared" si="1"/>
        <v>0</v>
      </c>
      <c r="H33" s="40"/>
      <c r="I33" s="40">
        <f t="shared" si="2"/>
        <v>0</v>
      </c>
    </row>
    <row r="34" spans="2:9" ht="33" customHeight="1">
      <c r="B34" s="39"/>
      <c r="C34" s="38">
        <f t="shared" si="0"/>
        <v>0</v>
      </c>
      <c r="E34" s="40"/>
      <c r="F34" s="40">
        <f t="shared" si="1"/>
        <v>0</v>
      </c>
      <c r="H34" s="40"/>
      <c r="I34" s="40">
        <f t="shared" si="2"/>
        <v>0</v>
      </c>
    </row>
    <row r="35" spans="2:9" ht="33" customHeight="1">
      <c r="B35" s="39"/>
      <c r="C35" s="38">
        <f t="shared" si="0"/>
        <v>0</v>
      </c>
      <c r="E35" s="40"/>
      <c r="F35" s="40">
        <f t="shared" si="1"/>
        <v>0</v>
      </c>
      <c r="H35" s="40"/>
      <c r="I35" s="40">
        <f t="shared" si="2"/>
        <v>0</v>
      </c>
    </row>
    <row r="36" spans="2:9" ht="33" customHeight="1">
      <c r="B36" s="39"/>
      <c r="C36" s="38">
        <f t="shared" si="0"/>
        <v>0</v>
      </c>
      <c r="E36" s="40"/>
      <c r="F36" s="40">
        <f t="shared" si="1"/>
        <v>0</v>
      </c>
      <c r="H36" s="40"/>
      <c r="I36" s="40">
        <f t="shared" si="2"/>
        <v>0</v>
      </c>
    </row>
    <row r="37" spans="2:9" ht="33" customHeight="1">
      <c r="B37" s="39"/>
      <c r="C37" s="38">
        <f t="shared" si="0"/>
        <v>0</v>
      </c>
      <c r="E37" s="40"/>
      <c r="F37" s="40">
        <f t="shared" si="1"/>
        <v>0</v>
      </c>
      <c r="H37" s="40"/>
      <c r="I37" s="40">
        <f t="shared" si="2"/>
        <v>0</v>
      </c>
    </row>
    <row r="38" spans="2:9" ht="33" customHeight="1">
      <c r="B38" s="39"/>
      <c r="C38" s="38">
        <f t="shared" si="0"/>
        <v>0</v>
      </c>
      <c r="E38" s="40"/>
      <c r="F38" s="40">
        <f t="shared" si="1"/>
        <v>0</v>
      </c>
      <c r="H38" s="40"/>
      <c r="I38" s="40">
        <f t="shared" si="2"/>
        <v>0</v>
      </c>
    </row>
    <row r="39" spans="2:9" ht="33" customHeight="1">
      <c r="B39" s="39"/>
      <c r="C39" s="38">
        <f t="shared" si="0"/>
        <v>0</v>
      </c>
      <c r="E39" s="40"/>
      <c r="F39" s="40">
        <f t="shared" si="1"/>
        <v>0</v>
      </c>
      <c r="H39" s="40"/>
      <c r="I39" s="40">
        <f t="shared" si="2"/>
        <v>0</v>
      </c>
    </row>
    <row r="40" spans="2:9" ht="33" customHeight="1">
      <c r="B40" s="39"/>
      <c r="C40" s="38">
        <f t="shared" si="0"/>
        <v>0</v>
      </c>
      <c r="E40" s="40"/>
      <c r="F40" s="40">
        <f t="shared" si="1"/>
        <v>0</v>
      </c>
      <c r="H40" s="40"/>
      <c r="I40" s="40">
        <f t="shared" si="2"/>
        <v>0</v>
      </c>
    </row>
    <row r="41" spans="2:9" ht="33" customHeight="1">
      <c r="B41" s="39"/>
      <c r="C41" s="38">
        <f t="shared" si="0"/>
        <v>0</v>
      </c>
      <c r="E41" s="40"/>
      <c r="F41" s="40">
        <f t="shared" si="1"/>
        <v>0</v>
      </c>
      <c r="H41" s="40"/>
      <c r="I41" s="40">
        <f t="shared" si="2"/>
        <v>0</v>
      </c>
    </row>
    <row r="42" spans="2:9" ht="33" customHeight="1">
      <c r="B42" s="39"/>
      <c r="C42" s="38">
        <f t="shared" si="0"/>
        <v>0</v>
      </c>
      <c r="E42" s="40"/>
      <c r="F42" s="40">
        <f t="shared" si="1"/>
        <v>0</v>
      </c>
      <c r="H42" s="40"/>
      <c r="I42" s="40">
        <f t="shared" si="2"/>
        <v>0</v>
      </c>
    </row>
    <row r="43" spans="2:9" ht="33" customHeight="1">
      <c r="B43" s="39"/>
      <c r="C43" s="38">
        <f t="shared" si="0"/>
        <v>0</v>
      </c>
      <c r="E43" s="40"/>
      <c r="F43" s="40">
        <f t="shared" si="1"/>
        <v>0</v>
      </c>
      <c r="H43" s="40"/>
      <c r="I43" s="40">
        <f t="shared" si="2"/>
        <v>0</v>
      </c>
    </row>
    <row r="44" spans="2:9" ht="33" customHeight="1">
      <c r="B44" s="39"/>
      <c r="C44" s="38">
        <f t="shared" si="0"/>
        <v>0</v>
      </c>
      <c r="E44" s="40"/>
      <c r="F44" s="40">
        <f t="shared" si="1"/>
        <v>0</v>
      </c>
      <c r="H44" s="40"/>
      <c r="I44" s="40">
        <f t="shared" si="2"/>
        <v>0</v>
      </c>
    </row>
    <row r="45" spans="2:9" ht="33" customHeight="1">
      <c r="B45" s="39"/>
      <c r="C45" s="38">
        <f t="shared" si="0"/>
        <v>0</v>
      </c>
      <c r="E45" s="40"/>
      <c r="F45" s="40">
        <f t="shared" si="1"/>
        <v>0</v>
      </c>
      <c r="H45" s="40"/>
      <c r="I45" s="40">
        <f t="shared" si="2"/>
        <v>0</v>
      </c>
    </row>
    <row r="46" spans="2:9" ht="33" customHeight="1">
      <c r="B46" s="39"/>
      <c r="C46" s="38">
        <f t="shared" si="0"/>
        <v>0</v>
      </c>
      <c r="E46" s="40"/>
      <c r="F46" s="40">
        <f t="shared" si="1"/>
        <v>0</v>
      </c>
      <c r="H46" s="40"/>
      <c r="I46" s="40">
        <f t="shared" si="2"/>
        <v>0</v>
      </c>
    </row>
    <row r="47" spans="2:9" ht="33" customHeight="1">
      <c r="B47" s="39"/>
      <c r="C47" s="38">
        <f t="shared" si="0"/>
        <v>0</v>
      </c>
      <c r="E47" s="40"/>
      <c r="F47" s="40">
        <f t="shared" si="1"/>
        <v>0</v>
      </c>
      <c r="H47" s="40"/>
      <c r="I47" s="40">
        <f t="shared" si="2"/>
        <v>0</v>
      </c>
    </row>
    <row r="48" spans="2:9" ht="33" customHeight="1">
      <c r="B48" s="39"/>
      <c r="C48" s="38">
        <f t="shared" si="0"/>
        <v>0</v>
      </c>
      <c r="E48" s="40"/>
      <c r="F48" s="40">
        <f t="shared" si="1"/>
        <v>0</v>
      </c>
      <c r="H48" s="40"/>
      <c r="I48" s="40">
        <f t="shared" si="2"/>
        <v>0</v>
      </c>
    </row>
    <row r="49" spans="2:9" ht="33" customHeight="1">
      <c r="B49" s="39"/>
      <c r="C49" s="38">
        <f t="shared" si="0"/>
        <v>0</v>
      </c>
      <c r="E49" s="40"/>
      <c r="F49" s="40">
        <f t="shared" si="1"/>
        <v>0</v>
      </c>
      <c r="H49" s="40"/>
      <c r="I49" s="40">
        <f t="shared" si="2"/>
        <v>0</v>
      </c>
    </row>
    <row r="50" spans="2:9" ht="33" customHeight="1">
      <c r="B50" s="39"/>
      <c r="C50" s="38">
        <f t="shared" si="0"/>
        <v>0</v>
      </c>
      <c r="E50" s="40"/>
      <c r="F50" s="40">
        <f t="shared" si="1"/>
        <v>0</v>
      </c>
      <c r="H50" s="40"/>
      <c r="I50" s="40">
        <f t="shared" si="2"/>
        <v>0</v>
      </c>
    </row>
    <row r="51" spans="2:9" ht="33" customHeight="1">
      <c r="B51" s="39"/>
      <c r="C51" s="38">
        <f t="shared" si="0"/>
        <v>0</v>
      </c>
      <c r="E51" s="40"/>
      <c r="F51" s="40">
        <f t="shared" si="1"/>
        <v>0</v>
      </c>
      <c r="H51" s="40"/>
      <c r="I51" s="40">
        <f t="shared" si="2"/>
        <v>0</v>
      </c>
    </row>
    <row r="52" spans="2:9" ht="33" customHeight="1">
      <c r="B52" s="39"/>
      <c r="C52" s="38">
        <f t="shared" si="0"/>
        <v>0</v>
      </c>
      <c r="E52" s="40"/>
      <c r="F52" s="40">
        <f t="shared" si="1"/>
        <v>0</v>
      </c>
      <c r="H52" s="40"/>
      <c r="I52" s="40">
        <f t="shared" si="2"/>
        <v>0</v>
      </c>
    </row>
    <row r="53" spans="2:9" ht="33" customHeight="1">
      <c r="B53" s="39"/>
      <c r="C53" s="38">
        <f t="shared" si="0"/>
        <v>0</v>
      </c>
      <c r="E53" s="40"/>
      <c r="F53" s="40">
        <f t="shared" si="1"/>
        <v>0</v>
      </c>
      <c r="H53" s="40"/>
      <c r="I53" s="40">
        <f t="shared" si="2"/>
        <v>0</v>
      </c>
    </row>
    <row r="54" spans="2:9" ht="33" customHeight="1">
      <c r="B54" s="39"/>
      <c r="C54" s="38">
        <f t="shared" si="0"/>
        <v>0</v>
      </c>
      <c r="E54" s="40"/>
      <c r="F54" s="40">
        <f t="shared" si="1"/>
        <v>0</v>
      </c>
      <c r="H54" s="40"/>
      <c r="I54" s="40">
        <f t="shared" si="2"/>
        <v>0</v>
      </c>
    </row>
    <row r="55" spans="2:9" ht="33" customHeight="1">
      <c r="B55" s="39"/>
      <c r="C55" s="38">
        <f t="shared" si="0"/>
        <v>0</v>
      </c>
      <c r="E55" s="40"/>
      <c r="F55" s="40">
        <f t="shared" si="1"/>
        <v>0</v>
      </c>
      <c r="H55" s="40"/>
      <c r="I55" s="40">
        <f t="shared" si="2"/>
        <v>0</v>
      </c>
    </row>
    <row r="56" spans="2:9" ht="33" customHeight="1">
      <c r="B56" s="39"/>
      <c r="C56" s="38">
        <f t="shared" si="0"/>
        <v>0</v>
      </c>
      <c r="E56" s="40"/>
      <c r="F56" s="40">
        <f t="shared" si="1"/>
        <v>0</v>
      </c>
      <c r="H56" s="40"/>
      <c r="I56" s="40">
        <f t="shared" si="2"/>
        <v>0</v>
      </c>
    </row>
    <row r="57" spans="2:9" ht="33" customHeight="1">
      <c r="B57" s="39"/>
      <c r="C57" s="38">
        <f t="shared" si="0"/>
        <v>0</v>
      </c>
      <c r="E57" s="40"/>
      <c r="F57" s="40">
        <f t="shared" si="1"/>
        <v>0</v>
      </c>
      <c r="H57" s="40"/>
      <c r="I57" s="40">
        <f t="shared" si="2"/>
        <v>0</v>
      </c>
    </row>
    <row r="58" spans="2:9" ht="33" customHeight="1">
      <c r="B58" s="39"/>
      <c r="C58" s="38">
        <f t="shared" si="0"/>
        <v>0</v>
      </c>
      <c r="E58" s="40"/>
      <c r="F58" s="40">
        <f t="shared" si="1"/>
        <v>0</v>
      </c>
      <c r="H58" s="40"/>
      <c r="I58" s="40">
        <f t="shared" si="2"/>
        <v>0</v>
      </c>
    </row>
    <row r="59" spans="2:9" ht="33" customHeight="1">
      <c r="B59" s="39"/>
      <c r="C59" s="38">
        <f t="shared" si="0"/>
        <v>0</v>
      </c>
      <c r="E59" s="40"/>
      <c r="F59" s="40">
        <f t="shared" si="1"/>
        <v>0</v>
      </c>
      <c r="H59" s="40"/>
      <c r="I59" s="40">
        <f t="shared" si="2"/>
        <v>0</v>
      </c>
    </row>
    <row r="60" spans="2:9" ht="33" customHeight="1">
      <c r="B60" s="39"/>
      <c r="C60" s="38">
        <f t="shared" si="0"/>
        <v>0</v>
      </c>
      <c r="E60" s="40"/>
      <c r="F60" s="40">
        <f t="shared" si="1"/>
        <v>0</v>
      </c>
      <c r="H60" s="40"/>
      <c r="I60" s="40">
        <f t="shared" si="2"/>
        <v>0</v>
      </c>
    </row>
    <row r="61" spans="2:9">
      <c r="B61" s="36"/>
      <c r="C61" s="35"/>
      <c r="F61" s="35"/>
      <c r="I61" s="35"/>
    </row>
    <row r="62" spans="2:9">
      <c r="B62" s="36"/>
      <c r="C62" s="35"/>
      <c r="F62" s="35"/>
      <c r="I62" s="35"/>
    </row>
    <row r="63" spans="2:9">
      <c r="C63" s="35"/>
      <c r="F63" s="35"/>
      <c r="I63" s="35"/>
    </row>
    <row r="64" spans="2:9">
      <c r="C64" s="35"/>
      <c r="F64" s="35"/>
      <c r="I64" s="35"/>
    </row>
    <row r="65" spans="3:9">
      <c r="C65" s="35"/>
      <c r="F65" s="35"/>
      <c r="I65" s="35"/>
    </row>
    <row r="66" spans="3:9">
      <c r="C66" s="35"/>
      <c r="F66" s="35"/>
      <c r="I66" s="35"/>
    </row>
    <row r="67" spans="3:9">
      <c r="C67" s="35"/>
      <c r="F67" s="35"/>
      <c r="I67" s="35"/>
    </row>
    <row r="68" spans="3:9">
      <c r="C68" s="35"/>
      <c r="F68" s="35"/>
      <c r="I68" s="35"/>
    </row>
    <row r="69" spans="3:9">
      <c r="C69" s="35"/>
      <c r="F69" s="35"/>
      <c r="I69" s="35"/>
    </row>
    <row r="70" spans="3:9">
      <c r="C70" s="35"/>
      <c r="F70" s="35"/>
      <c r="I70" s="35"/>
    </row>
    <row r="71" spans="3:9">
      <c r="C71" s="35"/>
      <c r="F71" s="35"/>
      <c r="I71" s="35"/>
    </row>
    <row r="72" spans="3:9">
      <c r="C72" s="35"/>
      <c r="F72" s="35"/>
      <c r="I72" s="35"/>
    </row>
    <row r="73" spans="3:9">
      <c r="C73" s="35"/>
      <c r="F73" s="35"/>
      <c r="I73" s="35"/>
    </row>
    <row r="74" spans="3:9">
      <c r="C74" s="35"/>
      <c r="F74" s="35"/>
      <c r="I74" s="35"/>
    </row>
    <row r="75" spans="3:9">
      <c r="C75" s="35"/>
      <c r="F75" s="35"/>
      <c r="I75" s="35"/>
    </row>
    <row r="76" spans="3:9">
      <c r="C76" s="35"/>
      <c r="F76" s="35"/>
      <c r="I76" s="35"/>
    </row>
    <row r="77" spans="3:9">
      <c r="C77" s="35"/>
      <c r="F77" s="35"/>
      <c r="I77" s="35"/>
    </row>
    <row r="78" spans="3:9">
      <c r="C78" s="35"/>
      <c r="F78" s="35"/>
      <c r="I78" s="35"/>
    </row>
    <row r="79" spans="3:9">
      <c r="C79" s="35"/>
      <c r="F79" s="35"/>
      <c r="I79" s="35"/>
    </row>
    <row r="80" spans="3:9">
      <c r="C80" s="35"/>
      <c r="F80" s="35"/>
      <c r="I80" s="35"/>
    </row>
    <row r="81" spans="3:9">
      <c r="C81" s="35"/>
      <c r="F81" s="35"/>
      <c r="I81" s="35"/>
    </row>
    <row r="82" spans="3:9">
      <c r="C82" s="35"/>
      <c r="F82" s="35"/>
      <c r="I82" s="35"/>
    </row>
    <row r="83" spans="3:9">
      <c r="C83" s="35"/>
      <c r="F83" s="35"/>
      <c r="I83" s="35"/>
    </row>
    <row r="84" spans="3:9">
      <c r="C84" s="35"/>
      <c r="F84" s="35"/>
      <c r="I84" s="35"/>
    </row>
    <row r="85" spans="3:9">
      <c r="C85" s="35"/>
      <c r="F85" s="35"/>
      <c r="I85" s="35"/>
    </row>
    <row r="86" spans="3:9">
      <c r="C86" s="35"/>
      <c r="F86" s="35"/>
      <c r="I86" s="35"/>
    </row>
    <row r="87" spans="3:9">
      <c r="C87" s="35"/>
      <c r="F87" s="35"/>
      <c r="I87" s="35"/>
    </row>
    <row r="88" spans="3:9">
      <c r="C88" s="35"/>
      <c r="F88" s="35"/>
      <c r="I88" s="35"/>
    </row>
    <row r="89" spans="3:9">
      <c r="C89" s="35"/>
      <c r="F89" s="35"/>
      <c r="I89" s="35"/>
    </row>
    <row r="90" spans="3:9">
      <c r="C90" s="35"/>
      <c r="F90" s="35"/>
      <c r="I90" s="35"/>
    </row>
    <row r="91" spans="3:9">
      <c r="C91" s="35"/>
      <c r="F91" s="35"/>
      <c r="I91" s="35"/>
    </row>
    <row r="92" spans="3:9">
      <c r="C92" s="35"/>
      <c r="F92" s="35"/>
      <c r="I92" s="35"/>
    </row>
    <row r="93" spans="3:9">
      <c r="C93" s="35"/>
      <c r="F93" s="35"/>
      <c r="I93" s="35"/>
    </row>
    <row r="94" spans="3:9">
      <c r="C94" s="35"/>
      <c r="F94" s="35"/>
      <c r="I94" s="35"/>
    </row>
    <row r="95" spans="3:9">
      <c r="C95" s="35"/>
      <c r="F95" s="35"/>
      <c r="I95" s="35"/>
    </row>
    <row r="96" spans="3:9">
      <c r="C96" s="35"/>
      <c r="F96" s="35"/>
      <c r="I96" s="35"/>
    </row>
    <row r="97" spans="3:9">
      <c r="C97" s="35"/>
      <c r="F97" s="35"/>
      <c r="I97" s="35"/>
    </row>
    <row r="98" spans="3:9">
      <c r="C98" s="35"/>
      <c r="F98" s="35"/>
      <c r="I98" s="35"/>
    </row>
    <row r="99" spans="3:9">
      <c r="C99" s="35"/>
      <c r="F99" s="35"/>
      <c r="I99" s="35"/>
    </row>
    <row r="100" spans="3:9">
      <c r="C100" s="35"/>
      <c r="F100" s="35"/>
      <c r="I100" s="35"/>
    </row>
    <row r="101" spans="3:9">
      <c r="C101" s="35"/>
      <c r="F101" s="35"/>
      <c r="I101" s="35"/>
    </row>
    <row r="102" spans="3:9">
      <c r="C102" s="35"/>
      <c r="F102" s="35"/>
      <c r="I102" s="35"/>
    </row>
    <row r="103" spans="3:9">
      <c r="C103" s="35"/>
      <c r="F103" s="35"/>
      <c r="I103" s="35"/>
    </row>
  </sheetData>
  <mergeCells count="3">
    <mergeCell ref="G1:I4"/>
    <mergeCell ref="B6:I7"/>
    <mergeCell ref="M1:S4"/>
  </mergeCells>
  <phoneticPr fontId="8" type="noConversion"/>
  <pageMargins left="0.7" right="0.7" top="0.75" bottom="0.75" header="0.3" footer="0.3"/>
  <pageSetup paperSize="9" scale="39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8963-D7C3-47D4-85B1-1417CA591D60}">
  <sheetPr>
    <pageSetUpPr fitToPage="1"/>
  </sheetPr>
  <dimension ref="A1:S103"/>
  <sheetViews>
    <sheetView zoomScale="70" zoomScaleNormal="70" workbookViewId="0">
      <selection activeCell="O10" sqref="O10"/>
    </sheetView>
  </sheetViews>
  <sheetFormatPr defaultRowHeight="16.5"/>
  <cols>
    <col min="1" max="1" width="12.25" style="34" bestFit="1" customWidth="1"/>
    <col min="2" max="2" width="15.625" style="1" customWidth="1"/>
    <col min="3" max="3" width="18.375" style="1" bestFit="1" customWidth="1"/>
    <col min="4" max="4" width="9" style="1" customWidth="1"/>
    <col min="5" max="5" width="15.625" style="1" customWidth="1"/>
    <col min="6" max="6" width="17.625" style="1" customWidth="1"/>
    <col min="7" max="7" width="9" style="1" customWidth="1"/>
    <col min="8" max="8" width="15.625" style="1" customWidth="1"/>
    <col min="9" max="9" width="17.75" style="1" customWidth="1"/>
    <col min="10" max="10" width="9" style="1"/>
    <col min="11" max="11" width="17.625" style="1" customWidth="1"/>
    <col min="12" max="16384" width="9" style="1"/>
  </cols>
  <sheetData>
    <row r="1" spans="1:19" ht="33.75" customHeight="1">
      <c r="B1" s="1" t="s">
        <v>154</v>
      </c>
      <c r="C1" s="1" t="s">
        <v>155</v>
      </c>
      <c r="D1" s="1" t="s">
        <v>156</v>
      </c>
      <c r="E1" s="1" t="s">
        <v>126</v>
      </c>
      <c r="F1" s="1" t="s">
        <v>157</v>
      </c>
      <c r="G1" s="49" t="s">
        <v>159</v>
      </c>
      <c r="H1" s="50"/>
      <c r="I1" s="50"/>
      <c r="K1" s="1" t="s">
        <v>158</v>
      </c>
      <c r="M1" s="51" t="s">
        <v>160</v>
      </c>
      <c r="N1" s="51"/>
      <c r="O1" s="51"/>
      <c r="P1" s="51"/>
      <c r="Q1" s="51"/>
      <c r="R1" s="51"/>
      <c r="S1" s="51"/>
    </row>
    <row r="2" spans="1:19" ht="33.75" customHeight="1">
      <c r="B2" s="34">
        <v>46064</v>
      </c>
      <c r="C2" s="34">
        <v>46091</v>
      </c>
      <c r="D2" s="1">
        <v>1463.3</v>
      </c>
      <c r="E2" s="1">
        <v>1508.5</v>
      </c>
      <c r="F2" s="34">
        <v>46067</v>
      </c>
      <c r="G2" s="50"/>
      <c r="H2" s="50"/>
      <c r="I2" s="50"/>
      <c r="K2" s="34" cm="1">
        <f t="array" ref="K2:K9">_xlfn.LET(
  _xlpm.s, $F$2,
  _xlpm.e, $C$2,
  _xlpm.all, _xlfn.SEQUENCE(_xlpm.e-_xlpm.s+1,,_xlpm.s,1),
  _xlfn._xlws.FILTER(_xlpm.all, WEEKDAY(_xlpm.all,2)&gt;=6)
)</f>
        <v>46067</v>
      </c>
      <c r="M2" s="51"/>
      <c r="N2" s="51"/>
      <c r="O2" s="51"/>
      <c r="P2" s="51"/>
      <c r="Q2" s="51"/>
      <c r="R2" s="51"/>
      <c r="S2" s="51"/>
    </row>
    <row r="3" spans="1:19" ht="33.75" customHeight="1">
      <c r="B3" s="34">
        <f>B2</f>
        <v>46064</v>
      </c>
      <c r="C3" s="34">
        <v>46091</v>
      </c>
      <c r="D3" s="1">
        <v>3203.52</v>
      </c>
      <c r="E3" s="1">
        <v>3309.26</v>
      </c>
      <c r="F3" s="34">
        <f>F2</f>
        <v>46067</v>
      </c>
      <c r="G3" s="50"/>
      <c r="H3" s="50"/>
      <c r="I3" s="50"/>
      <c r="K3" s="34">
        <v>46068</v>
      </c>
      <c r="M3" s="51"/>
      <c r="N3" s="51"/>
      <c r="O3" s="51"/>
      <c r="P3" s="51"/>
      <c r="Q3" s="51"/>
      <c r="R3" s="51"/>
      <c r="S3" s="51"/>
    </row>
    <row r="4" spans="1:19" ht="33.75" customHeight="1">
      <c r="B4" s="34">
        <f>B2</f>
        <v>46064</v>
      </c>
      <c r="C4" s="34">
        <v>46091</v>
      </c>
      <c r="D4" s="44">
        <v>7642.97</v>
      </c>
      <c r="E4" s="1">
        <v>7693.7</v>
      </c>
      <c r="F4" s="34">
        <f>F2</f>
        <v>46067</v>
      </c>
      <c r="G4" s="50"/>
      <c r="H4" s="50"/>
      <c r="I4" s="50"/>
      <c r="K4" s="34">
        <v>46074</v>
      </c>
      <c r="M4" s="51"/>
      <c r="N4" s="51"/>
      <c r="O4" s="51"/>
      <c r="P4" s="51"/>
      <c r="Q4" s="51"/>
      <c r="R4" s="51"/>
      <c r="S4" s="51"/>
    </row>
    <row r="5" spans="1:19" ht="33.75" customHeight="1">
      <c r="F5" s="34"/>
      <c r="K5" s="34">
        <v>46075</v>
      </c>
      <c r="M5" s="47"/>
      <c r="N5" s="47"/>
      <c r="O5" s="47"/>
      <c r="P5" s="47"/>
      <c r="Q5" s="47"/>
      <c r="R5" s="47"/>
      <c r="S5" s="47"/>
    </row>
    <row r="6" spans="1:19" ht="33" customHeight="1">
      <c r="B6" s="50" t="s">
        <v>161</v>
      </c>
      <c r="C6" s="50"/>
      <c r="D6" s="50"/>
      <c r="E6" s="50"/>
      <c r="F6" s="50"/>
      <c r="G6" s="50"/>
      <c r="H6" s="50"/>
      <c r="I6" s="50"/>
      <c r="K6" s="34">
        <v>46081</v>
      </c>
    </row>
    <row r="7" spans="1:19" ht="32.25" customHeight="1">
      <c r="B7" s="50"/>
      <c r="C7" s="50"/>
      <c r="D7" s="50"/>
      <c r="E7" s="50"/>
      <c r="F7" s="50"/>
      <c r="G7" s="50"/>
      <c r="H7" s="50"/>
      <c r="I7" s="50"/>
      <c r="K7" s="34">
        <v>46082</v>
      </c>
    </row>
    <row r="8" spans="1:19" ht="33" customHeight="1">
      <c r="A8" s="34" cm="1">
        <f t="array" aca="1" ref="A8:B23" ca="1">_xlfn.LET(
  _xlpm.sDate,$B$2, _xlpm.eDate,$C$2, _xlpm.sVal,$D$2, _xlpm.eVal,$E$2,
  _xlpm.hol, _xlfn._xlws.FILTER($K$2:$K$1000, ISNUMBER($K$2:$K$1000)),
  _xlpm.n, NETWORKDAYS(_xlpm.sDate,_xlpm.eDate,_xlpm.hol),
  _xlpm.dates, WORKDAY(_xlpm.sDate-1, _xlfn.SEQUENCE(_xlpm.n), _xlpm.hol),
  _xlpm.total, _xlpm.eVal - _xlpm.sVal,
  _xlpm.base, 0.3,
  _xlpm.w, _xlpm.base + _xlfn.RANDARRAY(_xlpm.n-1,1),
  _xlpm.inc, _xlpm.total * _xlpm.w / SUM(_xlpm.w),
  _xlpm.vals, _xlfn.VSTACK(_xlpm.sVal, _xlpm.sVal + _xlfn.SCAN(0, _xlpm.inc, _xlfn.LAMBDA(_xlpm.a,_xlpm.b, _xlpm.a+_xlpm.b))),
  _xlfn.HSTACK(_xlpm.dates, _xlpm.vals)
)</f>
        <v>46064</v>
      </c>
      <c r="B8" s="37">
        <f ca="1"/>
        <v>1463.3</v>
      </c>
      <c r="C8" s="38"/>
      <c r="D8" s="1" cm="1">
        <f t="array" aca="1" ref="D8:E23" ca="1">_xlfn.LET(
  _xlpm.sDate,$B$3, _xlpm.eDate,$C$3, _xlpm.sVal,$D$3, _xlpm.eVal,$E$3,
  _xlpm.hol, _xlfn._xlws.FILTER($K$2:$K$1000, ISNUMBER($K$2:$K$1000)),
  _xlpm.n, NETWORKDAYS(_xlpm.sDate,_xlpm.eDate,_xlpm.hol),
  _xlpm.dates, WORKDAY(_xlpm.sDate-1, _xlfn.SEQUENCE(_xlpm.n), _xlpm.hol),
  _xlpm.total, _xlpm.eVal - _xlpm.sVal,
  _xlpm.base, 0.3,
  _xlpm.w, _xlpm.base + _xlfn.RANDARRAY(_xlpm.n-1,1),
  _xlpm.inc, _xlpm.total * _xlpm.w / SUM(_xlpm.w),
  _xlpm.vals, _xlfn.VSTACK(_xlpm.sVal, _xlpm.sVal + _xlfn.SCAN(0, _xlpm.inc, _xlfn.LAMBDA(_xlpm.a,_xlpm.b, _xlpm.a+_xlpm.b))),
  _xlfn.HSTACK(_xlpm.dates, _xlpm.vals)
)</f>
        <v>46064</v>
      </c>
      <c r="E8" s="40">
        <f ca="1"/>
        <v>3203.52</v>
      </c>
      <c r="F8" s="40"/>
      <c r="G8" s="1" cm="1">
        <f t="array" aca="1" ref="G8:H23" ca="1">_xlfn.LET(
  _xlpm.sDate,$B$4, _xlpm.eDate,$C$4, _xlpm.sVal,$D$4, _xlpm.eVal,$E$4,
  _xlpm.hol, _xlfn._xlws.FILTER($K$2:$K$1000, ISNUMBER($K$2:$K$1000)),
  _xlpm.n, NETWORKDAYS(_xlpm.sDate,_xlpm.eDate,_xlpm.hol),
  _xlpm.dates, WORKDAY(_xlpm.sDate-1, _xlfn.SEQUENCE(_xlpm.n), _xlpm.hol),
  _xlpm.total, _xlpm.eVal - _xlpm.sVal,
  _xlpm.base, 0.3,
  _xlpm.w, _xlpm.base + _xlfn.RANDARRAY(_xlpm.n-1,1),
  _xlpm.inc, _xlpm.total * _xlpm.w / SUM(_xlpm.w),
  _xlpm.vals, _xlfn.VSTACK(_xlpm.sVal, _xlpm.sVal + _xlfn.SCAN(0, _xlpm.inc, _xlfn.LAMBDA(_xlpm.a,_xlpm.b, _xlpm.a+_xlpm.b))),
  _xlfn.HSTACK(_xlpm.dates, _xlpm.vals)
)</f>
        <v>46064</v>
      </c>
      <c r="H8" s="40">
        <f ca="1"/>
        <v>7642.97</v>
      </c>
      <c r="I8" s="40"/>
      <c r="K8" s="34">
        <v>46088</v>
      </c>
      <c r="N8" s="48"/>
      <c r="O8" s="48"/>
      <c r="P8" s="48"/>
      <c r="Q8" s="48"/>
      <c r="R8" s="48"/>
      <c r="S8" s="48"/>
    </row>
    <row r="9" spans="1:19" ht="33" customHeight="1">
      <c r="A9" s="34">
        <f ca="1"/>
        <v>46065</v>
      </c>
      <c r="B9" s="39">
        <f ca="1"/>
        <v>1467.5452712091237</v>
      </c>
      <c r="C9" s="38">
        <f ca="1">B9-B8</f>
        <v>4.2452712091237572</v>
      </c>
      <c r="D9" s="1">
        <f ca="1"/>
        <v>46065</v>
      </c>
      <c r="E9" s="40">
        <f ca="1"/>
        <v>3207.0720866072675</v>
      </c>
      <c r="F9" s="40">
        <f ca="1">E9-E8</f>
        <v>3.5520866072674835</v>
      </c>
      <c r="G9" s="1">
        <f ca="1"/>
        <v>46065</v>
      </c>
      <c r="H9" s="40">
        <f ca="1"/>
        <v>7646.6230131951625</v>
      </c>
      <c r="I9" s="40">
        <f ca="1">H9-H8</f>
        <v>3.6530131951622025</v>
      </c>
      <c r="K9" s="34">
        <v>46089</v>
      </c>
      <c r="N9" s="48"/>
      <c r="O9" s="48"/>
      <c r="P9" s="48"/>
      <c r="Q9" s="48"/>
      <c r="R9" s="48"/>
      <c r="S9" s="48"/>
    </row>
    <row r="10" spans="1:19" ht="33" customHeight="1">
      <c r="A10" s="34">
        <f ca="1"/>
        <v>46066</v>
      </c>
      <c r="B10" s="39">
        <f ca="1"/>
        <v>1471.9375285163499</v>
      </c>
      <c r="C10" s="38">
        <f t="shared" ref="C10:C60" ca="1" si="0">B10-B9</f>
        <v>4.3922573072261457</v>
      </c>
      <c r="D10" s="1">
        <f ca="1"/>
        <v>46066</v>
      </c>
      <c r="E10" s="40">
        <f ca="1"/>
        <v>3214.213031247702</v>
      </c>
      <c r="F10" s="40">
        <f t="shared" ref="F10:F60" ca="1" si="1">E10-E9</f>
        <v>7.1409446404345545</v>
      </c>
      <c r="G10" s="1">
        <f ca="1"/>
        <v>46066</v>
      </c>
      <c r="H10" s="40">
        <f ca="1"/>
        <v>7651.7238231986576</v>
      </c>
      <c r="I10" s="40">
        <f t="shared" ref="I10:I60" ca="1" si="2">H10-H9</f>
        <v>5.1008100034950985</v>
      </c>
      <c r="K10" s="34">
        <v>46069</v>
      </c>
      <c r="M10" s="48"/>
      <c r="N10" s="48"/>
      <c r="O10" s="48"/>
      <c r="P10" s="48"/>
      <c r="Q10" s="48"/>
      <c r="R10" s="48"/>
      <c r="S10" s="48"/>
    </row>
    <row r="11" spans="1:19" ht="33" customHeight="1">
      <c r="A11" s="34">
        <f ca="1"/>
        <v>46072</v>
      </c>
      <c r="B11" s="39">
        <f ca="1"/>
        <v>1474.4617997871599</v>
      </c>
      <c r="C11" s="38">
        <f t="shared" ca="1" si="0"/>
        <v>2.5242712708100044</v>
      </c>
      <c r="D11" s="1">
        <f ca="1"/>
        <v>46072</v>
      </c>
      <c r="E11" s="40">
        <f ca="1"/>
        <v>3224.6970617915267</v>
      </c>
      <c r="F11" s="40">
        <f t="shared" ca="1" si="1"/>
        <v>10.484030543824701</v>
      </c>
      <c r="G11" s="1">
        <f ca="1"/>
        <v>46072</v>
      </c>
      <c r="H11" s="40">
        <f ca="1"/>
        <v>7654.7852224203107</v>
      </c>
      <c r="I11" s="40">
        <f t="shared" ca="1" si="2"/>
        <v>3.0613992216531187</v>
      </c>
      <c r="K11" s="34">
        <v>46070</v>
      </c>
      <c r="M11" s="48"/>
      <c r="N11" s="48"/>
      <c r="O11" s="48"/>
      <c r="P11" s="48"/>
      <c r="Q11" s="48"/>
      <c r="R11" s="48"/>
      <c r="S11" s="48"/>
    </row>
    <row r="12" spans="1:19" ht="33" customHeight="1">
      <c r="A12" s="34">
        <f ca="1"/>
        <v>46073</v>
      </c>
      <c r="B12" s="39">
        <f ca="1"/>
        <v>1478.9625038927481</v>
      </c>
      <c r="C12" s="38">
        <f t="shared" ca="1" si="0"/>
        <v>4.5007041055882837</v>
      </c>
      <c r="D12" s="1">
        <f ca="1"/>
        <v>46073</v>
      </c>
      <c r="E12" s="40">
        <f ca="1"/>
        <v>3228.064514909358</v>
      </c>
      <c r="F12" s="40">
        <f t="shared" ca="1" si="1"/>
        <v>3.3674531178312463</v>
      </c>
      <c r="G12" s="1">
        <f ca="1"/>
        <v>46073</v>
      </c>
      <c r="H12" s="40">
        <f ca="1"/>
        <v>7659.8770190149198</v>
      </c>
      <c r="I12" s="40">
        <f t="shared" ca="1" si="2"/>
        <v>5.0917965946091499</v>
      </c>
      <c r="K12" s="34">
        <v>46071</v>
      </c>
    </row>
    <row r="13" spans="1:19" ht="33" customHeight="1">
      <c r="A13" s="34">
        <f ca="1"/>
        <v>46076</v>
      </c>
      <c r="B13" s="39">
        <f ca="1"/>
        <v>1480.6624428169803</v>
      </c>
      <c r="C13" s="38">
        <f t="shared" ca="1" si="0"/>
        <v>1.6999389242321286</v>
      </c>
      <c r="D13" s="1">
        <f ca="1"/>
        <v>46076</v>
      </c>
      <c r="E13" s="40">
        <f ca="1"/>
        <v>3238.5144600308986</v>
      </c>
      <c r="F13" s="40">
        <f t="shared" ca="1" si="1"/>
        <v>10.449945121540622</v>
      </c>
      <c r="G13" s="1">
        <f ca="1"/>
        <v>46076</v>
      </c>
      <c r="H13" s="40">
        <f ca="1"/>
        <v>7664.4390826310255</v>
      </c>
      <c r="I13" s="40">
        <f t="shared" ca="1" si="2"/>
        <v>4.5620636161056609</v>
      </c>
      <c r="K13" s="34">
        <v>46083</v>
      </c>
    </row>
    <row r="14" spans="1:19" ht="33" customHeight="1">
      <c r="A14" s="34">
        <f ca="1"/>
        <v>46077</v>
      </c>
      <c r="B14" s="39">
        <f ca="1"/>
        <v>1484.2166157820811</v>
      </c>
      <c r="C14" s="38">
        <f t="shared" ca="1" si="0"/>
        <v>3.5541729651008609</v>
      </c>
      <c r="D14" s="1">
        <f ca="1"/>
        <v>46077</v>
      </c>
      <c r="E14" s="40">
        <f ca="1"/>
        <v>3246.0838264683089</v>
      </c>
      <c r="F14" s="40">
        <f t="shared" ca="1" si="1"/>
        <v>7.5693664374102809</v>
      </c>
      <c r="G14" s="1">
        <f ca="1"/>
        <v>46077</v>
      </c>
      <c r="H14" s="40">
        <f ca="1"/>
        <v>7668.0492224643258</v>
      </c>
      <c r="I14" s="40">
        <f t="shared" ca="1" si="2"/>
        <v>3.610139833300309</v>
      </c>
      <c r="M14" s="8">
        <v>1437.6</v>
      </c>
      <c r="N14" s="45">
        <v>1.8</v>
      </c>
      <c r="O14"/>
      <c r="P14" s="16">
        <v>57892.9</v>
      </c>
      <c r="Q14" s="41">
        <v>115.7</v>
      </c>
    </row>
    <row r="15" spans="1:19" ht="33" customHeight="1">
      <c r="A15" s="34">
        <f ca="1"/>
        <v>46078</v>
      </c>
      <c r="B15" s="39">
        <f ca="1"/>
        <v>1487.6588034278752</v>
      </c>
      <c r="C15" s="38">
        <f t="shared" ca="1" si="0"/>
        <v>3.4421876457940925</v>
      </c>
      <c r="D15" s="1">
        <f ca="1"/>
        <v>46078</v>
      </c>
      <c r="E15" s="40">
        <f ca="1"/>
        <v>3249.4227310430233</v>
      </c>
      <c r="F15" s="40">
        <f t="shared" ca="1" si="1"/>
        <v>3.3389045747144337</v>
      </c>
      <c r="G15" s="1">
        <f ca="1"/>
        <v>46078</v>
      </c>
      <c r="H15" s="40">
        <f ca="1"/>
        <v>7671.1171685307145</v>
      </c>
      <c r="I15" s="40">
        <f t="shared" ca="1" si="2"/>
        <v>3.0679460663886857</v>
      </c>
      <c r="M15" s="8">
        <v>1508.5</v>
      </c>
      <c r="N15" s="46"/>
      <c r="O15"/>
      <c r="P15" s="21">
        <v>62406</v>
      </c>
      <c r="Q15" s="41"/>
    </row>
    <row r="16" spans="1:19" ht="33" customHeight="1">
      <c r="A16" s="34">
        <f ca="1"/>
        <v>46079</v>
      </c>
      <c r="B16" s="39">
        <f ca="1"/>
        <v>1491.1754489880632</v>
      </c>
      <c r="C16" s="38">
        <f t="shared" ca="1" si="0"/>
        <v>3.5166455601879534</v>
      </c>
      <c r="D16" s="1">
        <f ca="1"/>
        <v>46079</v>
      </c>
      <c r="E16" s="40">
        <f ca="1"/>
        <v>3260.2884940403701</v>
      </c>
      <c r="F16" s="40">
        <f t="shared" ca="1" si="1"/>
        <v>10.865762997346792</v>
      </c>
      <c r="G16" s="1">
        <f ca="1"/>
        <v>46079</v>
      </c>
      <c r="H16" s="40">
        <f ca="1"/>
        <v>7674.8859372604011</v>
      </c>
      <c r="I16" s="40">
        <f t="shared" ca="1" si="2"/>
        <v>3.7687687296865988</v>
      </c>
      <c r="M16" s="8"/>
      <c r="N16" s="8"/>
      <c r="O16"/>
      <c r="P16" s="41"/>
      <c r="Q16" s="41"/>
    </row>
    <row r="17" spans="1:17" ht="33" customHeight="1">
      <c r="A17" s="34">
        <f ca="1"/>
        <v>46080</v>
      </c>
      <c r="B17" s="39">
        <f ca="1"/>
        <v>1494.2306906240995</v>
      </c>
      <c r="C17" s="38">
        <f t="shared" ca="1" si="0"/>
        <v>3.0552416360362713</v>
      </c>
      <c r="D17" s="1">
        <f ca="1"/>
        <v>46080</v>
      </c>
      <c r="E17" s="40">
        <f ca="1"/>
        <v>3266.8015014001435</v>
      </c>
      <c r="F17" s="40">
        <f t="shared" ca="1" si="1"/>
        <v>6.5130073597733826</v>
      </c>
      <c r="G17" s="1">
        <f ca="1"/>
        <v>46080</v>
      </c>
      <c r="H17" s="40">
        <f ca="1"/>
        <v>7677.6043725035206</v>
      </c>
      <c r="I17" s="40">
        <f t="shared" ca="1" si="2"/>
        <v>2.7184352431195293</v>
      </c>
      <c r="K17" s="34"/>
      <c r="M17" s="8">
        <v>3136.41</v>
      </c>
      <c r="N17" s="45">
        <v>4.43</v>
      </c>
      <c r="O17"/>
      <c r="P17" s="16">
        <v>1573.6</v>
      </c>
      <c r="Q17" s="52">
        <v>3</v>
      </c>
    </row>
    <row r="18" spans="1:17" ht="33" customHeight="1">
      <c r="A18" s="34">
        <f ca="1"/>
        <v>46084</v>
      </c>
      <c r="B18" s="39">
        <f ca="1"/>
        <v>1497.4903380073231</v>
      </c>
      <c r="C18" s="38">
        <f t="shared" ca="1" si="0"/>
        <v>3.259647383223637</v>
      </c>
      <c r="D18" s="1">
        <f ca="1"/>
        <v>46084</v>
      </c>
      <c r="E18" s="40">
        <f ca="1"/>
        <v>3275.4744263658558</v>
      </c>
      <c r="F18" s="40">
        <f t="shared" ca="1" si="1"/>
        <v>8.6729249657123546</v>
      </c>
      <c r="G18" s="1">
        <f ca="1"/>
        <v>46084</v>
      </c>
      <c r="H18" s="40">
        <f ca="1"/>
        <v>7679.5512529718026</v>
      </c>
      <c r="I18" s="40">
        <f t="shared" ca="1" si="2"/>
        <v>1.9468804682819609</v>
      </c>
      <c r="K18" s="34"/>
      <c r="M18" s="8">
        <v>3309.26</v>
      </c>
      <c r="N18" s="46"/>
      <c r="O18"/>
      <c r="P18" s="21">
        <v>1693</v>
      </c>
      <c r="Q18" s="52"/>
    </row>
    <row r="19" spans="1:17" ht="33" customHeight="1">
      <c r="A19" s="34">
        <f ca="1"/>
        <v>46085</v>
      </c>
      <c r="B19" s="39">
        <f ca="1"/>
        <v>1501.1589064858401</v>
      </c>
      <c r="C19" s="38">
        <f t="shared" ca="1" si="0"/>
        <v>3.6685684785170452</v>
      </c>
      <c r="D19" s="1">
        <f ca="1"/>
        <v>46085</v>
      </c>
      <c r="E19" s="40">
        <f ca="1"/>
        <v>3279.2573543000617</v>
      </c>
      <c r="F19" s="40">
        <f t="shared" ca="1" si="1"/>
        <v>3.7829279342058726</v>
      </c>
      <c r="G19" s="1">
        <f ca="1"/>
        <v>46085</v>
      </c>
      <c r="H19" s="40">
        <f ca="1"/>
        <v>7682.2984559430015</v>
      </c>
      <c r="I19" s="40">
        <f t="shared" ca="1" si="2"/>
        <v>2.7472029711989308</v>
      </c>
      <c r="K19" s="34"/>
      <c r="M19" s="8"/>
      <c r="N19" s="8"/>
      <c r="O19"/>
      <c r="P19" s="41"/>
      <c r="Q19" s="41"/>
    </row>
    <row r="20" spans="1:17" ht="33" customHeight="1">
      <c r="A20" s="34">
        <f ca="1"/>
        <v>46086</v>
      </c>
      <c r="B20" s="39">
        <f ca="1"/>
        <v>1502.6047198893959</v>
      </c>
      <c r="C20" s="38">
        <f t="shared" ca="1" si="0"/>
        <v>1.4458134035558032</v>
      </c>
      <c r="D20" s="1">
        <f ca="1"/>
        <v>46086</v>
      </c>
      <c r="E20" s="40">
        <f ca="1"/>
        <v>3288.5844023924897</v>
      </c>
      <c r="F20" s="40">
        <f t="shared" ca="1" si="1"/>
        <v>9.3270480924279582</v>
      </c>
      <c r="G20" s="1">
        <f ca="1"/>
        <v>46086</v>
      </c>
      <c r="H20" s="40">
        <f ca="1"/>
        <v>7685.6225085448214</v>
      </c>
      <c r="I20" s="40">
        <f t="shared" ca="1" si="2"/>
        <v>3.324052601819858</v>
      </c>
      <c r="K20" s="34"/>
      <c r="M20" s="9">
        <v>7611.26</v>
      </c>
      <c r="N20" s="45">
        <v>2.11</v>
      </c>
      <c r="O20"/>
      <c r="P20" s="16">
        <v>21816.3</v>
      </c>
      <c r="Q20" s="41">
        <v>5.8</v>
      </c>
    </row>
    <row r="21" spans="1:17" ht="33" customHeight="1">
      <c r="A21" s="34">
        <f ca="1"/>
        <v>46087</v>
      </c>
      <c r="B21" s="39">
        <f ca="1"/>
        <v>1503.8566360610521</v>
      </c>
      <c r="C21" s="38">
        <f t="shared" ca="1" si="0"/>
        <v>1.2519161716561484</v>
      </c>
      <c r="D21" s="1">
        <f ca="1"/>
        <v>46087</v>
      </c>
      <c r="E21" s="40">
        <f ca="1"/>
        <v>3294.2155142521501</v>
      </c>
      <c r="F21" s="40">
        <f t="shared" ca="1" si="1"/>
        <v>5.6311118596604501</v>
      </c>
      <c r="G21" s="1">
        <f ca="1"/>
        <v>46087</v>
      </c>
      <c r="H21" s="40">
        <f ca="1"/>
        <v>7687.7935241538535</v>
      </c>
      <c r="I21" s="40">
        <f t="shared" ca="1" si="2"/>
        <v>2.1710156090321107</v>
      </c>
      <c r="K21" s="34"/>
      <c r="M21" s="8">
        <v>7693.7</v>
      </c>
      <c r="N21" s="46"/>
      <c r="O21"/>
      <c r="P21" s="21">
        <v>22044.799999999999</v>
      </c>
      <c r="Q21" s="41"/>
    </row>
    <row r="22" spans="1:17" ht="33" customHeight="1">
      <c r="A22" s="34">
        <f ca="1"/>
        <v>46090</v>
      </c>
      <c r="B22" s="39">
        <f ca="1"/>
        <v>1506.3291295123122</v>
      </c>
      <c r="C22" s="38">
        <f t="shared" ca="1" si="0"/>
        <v>2.4724934512601067</v>
      </c>
      <c r="D22" s="1">
        <f ca="1"/>
        <v>46090</v>
      </c>
      <c r="E22" s="40">
        <f ca="1"/>
        <v>3298.659098462932</v>
      </c>
      <c r="F22" s="40">
        <f t="shared" ca="1" si="1"/>
        <v>4.4435842107818644</v>
      </c>
      <c r="G22" s="1">
        <f ca="1"/>
        <v>46090</v>
      </c>
      <c r="H22" s="40">
        <f ca="1"/>
        <v>7689.5015829280301</v>
      </c>
      <c r="I22" s="40">
        <f t="shared" ca="1" si="2"/>
        <v>1.7080587741766067</v>
      </c>
      <c r="K22" s="34"/>
    </row>
    <row r="23" spans="1:17" ht="33" customHeight="1">
      <c r="A23" s="34">
        <f ca="1"/>
        <v>46091</v>
      </c>
      <c r="B23" s="39">
        <f ca="1"/>
        <v>1508.5</v>
      </c>
      <c r="C23" s="38">
        <f t="shared" ca="1" si="0"/>
        <v>2.1708704876878073</v>
      </c>
      <c r="D23" s="1">
        <f ca="1"/>
        <v>46091</v>
      </c>
      <c r="E23" s="40">
        <f ca="1"/>
        <v>3309.26</v>
      </c>
      <c r="F23" s="40">
        <f t="shared" ca="1" si="1"/>
        <v>10.600901537068239</v>
      </c>
      <c r="G23" s="1">
        <f ca="1"/>
        <v>46091</v>
      </c>
      <c r="H23" s="40">
        <f ca="1"/>
        <v>7693.7</v>
      </c>
      <c r="I23" s="40">
        <f t="shared" ca="1" si="2"/>
        <v>4.1984170719697431</v>
      </c>
      <c r="K23" s="34"/>
    </row>
    <row r="24" spans="1:17" ht="33" customHeight="1">
      <c r="B24" s="39"/>
      <c r="C24" s="38">
        <f t="shared" ca="1" si="0"/>
        <v>-1508.5</v>
      </c>
      <c r="E24" s="40"/>
      <c r="F24" s="40">
        <f t="shared" ca="1" si="1"/>
        <v>-3309.26</v>
      </c>
      <c r="H24" s="40"/>
      <c r="I24" s="40">
        <f t="shared" ca="1" si="2"/>
        <v>-7693.7</v>
      </c>
      <c r="K24" s="34"/>
    </row>
    <row r="25" spans="1:17" ht="33" customHeight="1">
      <c r="B25" s="39"/>
      <c r="C25" s="38">
        <f t="shared" si="0"/>
        <v>0</v>
      </c>
      <c r="E25" s="40"/>
      <c r="F25" s="40">
        <f t="shared" si="1"/>
        <v>0</v>
      </c>
      <c r="H25" s="40"/>
      <c r="I25" s="40">
        <f t="shared" si="2"/>
        <v>0</v>
      </c>
      <c r="K25" s="34"/>
    </row>
    <row r="26" spans="1:17" ht="33" customHeight="1">
      <c r="B26" s="39"/>
      <c r="C26" s="38">
        <f t="shared" si="0"/>
        <v>0</v>
      </c>
      <c r="E26" s="40"/>
      <c r="F26" s="40">
        <f t="shared" si="1"/>
        <v>0</v>
      </c>
      <c r="H26" s="40"/>
      <c r="I26" s="40">
        <f t="shared" si="2"/>
        <v>0</v>
      </c>
      <c r="K26" s="34"/>
    </row>
    <row r="27" spans="1:17" ht="33" customHeight="1">
      <c r="B27" s="39"/>
      <c r="C27" s="38">
        <f t="shared" si="0"/>
        <v>0</v>
      </c>
      <c r="E27" s="40"/>
      <c r="F27" s="40">
        <f t="shared" si="1"/>
        <v>0</v>
      </c>
      <c r="H27" s="40"/>
      <c r="I27" s="40">
        <f t="shared" si="2"/>
        <v>0</v>
      </c>
    </row>
    <row r="28" spans="1:17" ht="33" customHeight="1">
      <c r="B28" s="39"/>
      <c r="C28" s="38">
        <f t="shared" si="0"/>
        <v>0</v>
      </c>
      <c r="E28" s="40"/>
      <c r="F28" s="40">
        <f t="shared" si="1"/>
        <v>0</v>
      </c>
      <c r="H28" s="40"/>
      <c r="I28" s="40">
        <f t="shared" si="2"/>
        <v>0</v>
      </c>
    </row>
    <row r="29" spans="1:17" ht="33" customHeight="1">
      <c r="B29" s="39"/>
      <c r="C29" s="38">
        <f t="shared" si="0"/>
        <v>0</v>
      </c>
      <c r="E29" s="40"/>
      <c r="F29" s="40">
        <f t="shared" si="1"/>
        <v>0</v>
      </c>
      <c r="H29" s="40"/>
      <c r="I29" s="40">
        <f t="shared" si="2"/>
        <v>0</v>
      </c>
    </row>
    <row r="30" spans="1:17" ht="33" customHeight="1">
      <c r="B30" s="39"/>
      <c r="C30" s="38">
        <f t="shared" si="0"/>
        <v>0</v>
      </c>
      <c r="E30" s="40"/>
      <c r="F30" s="40">
        <f t="shared" si="1"/>
        <v>0</v>
      </c>
      <c r="H30" s="40"/>
      <c r="I30" s="40">
        <f t="shared" si="2"/>
        <v>0</v>
      </c>
    </row>
    <row r="31" spans="1:17" ht="33" customHeight="1">
      <c r="B31" s="39"/>
      <c r="C31" s="38">
        <f t="shared" si="0"/>
        <v>0</v>
      </c>
      <c r="E31" s="40"/>
      <c r="F31" s="40">
        <f t="shared" si="1"/>
        <v>0</v>
      </c>
      <c r="H31" s="40"/>
      <c r="I31" s="40">
        <f t="shared" si="2"/>
        <v>0</v>
      </c>
    </row>
    <row r="32" spans="1:17" ht="33" customHeight="1">
      <c r="B32" s="39"/>
      <c r="C32" s="38">
        <f t="shared" si="0"/>
        <v>0</v>
      </c>
      <c r="E32" s="40"/>
      <c r="F32" s="40">
        <f t="shared" si="1"/>
        <v>0</v>
      </c>
      <c r="H32" s="40"/>
      <c r="I32" s="40">
        <f t="shared" si="2"/>
        <v>0</v>
      </c>
    </row>
    <row r="33" spans="2:9" ht="33" customHeight="1">
      <c r="B33" s="39"/>
      <c r="C33" s="38">
        <f t="shared" si="0"/>
        <v>0</v>
      </c>
      <c r="E33" s="40"/>
      <c r="F33" s="40">
        <f t="shared" si="1"/>
        <v>0</v>
      </c>
      <c r="H33" s="40"/>
      <c r="I33" s="40">
        <f t="shared" si="2"/>
        <v>0</v>
      </c>
    </row>
    <row r="34" spans="2:9" ht="33" customHeight="1">
      <c r="B34" s="39"/>
      <c r="C34" s="38">
        <f t="shared" si="0"/>
        <v>0</v>
      </c>
      <c r="E34" s="40"/>
      <c r="F34" s="40">
        <f t="shared" si="1"/>
        <v>0</v>
      </c>
      <c r="H34" s="40"/>
      <c r="I34" s="40">
        <f t="shared" si="2"/>
        <v>0</v>
      </c>
    </row>
    <row r="35" spans="2:9" ht="33" customHeight="1">
      <c r="B35" s="39"/>
      <c r="C35" s="38">
        <f t="shared" si="0"/>
        <v>0</v>
      </c>
      <c r="E35" s="40"/>
      <c r="F35" s="40">
        <f t="shared" si="1"/>
        <v>0</v>
      </c>
      <c r="H35" s="40"/>
      <c r="I35" s="40">
        <f t="shared" si="2"/>
        <v>0</v>
      </c>
    </row>
    <row r="36" spans="2:9" ht="33" customHeight="1">
      <c r="B36" s="39"/>
      <c r="C36" s="38">
        <f t="shared" si="0"/>
        <v>0</v>
      </c>
      <c r="E36" s="40"/>
      <c r="F36" s="40">
        <f t="shared" si="1"/>
        <v>0</v>
      </c>
      <c r="H36" s="40"/>
      <c r="I36" s="40">
        <f t="shared" si="2"/>
        <v>0</v>
      </c>
    </row>
    <row r="37" spans="2:9" ht="33" customHeight="1">
      <c r="B37" s="39"/>
      <c r="C37" s="38">
        <f t="shared" si="0"/>
        <v>0</v>
      </c>
      <c r="E37" s="40"/>
      <c r="F37" s="40">
        <f t="shared" si="1"/>
        <v>0</v>
      </c>
      <c r="H37" s="40"/>
      <c r="I37" s="40">
        <f t="shared" si="2"/>
        <v>0</v>
      </c>
    </row>
    <row r="38" spans="2:9" ht="33" customHeight="1">
      <c r="B38" s="39"/>
      <c r="C38" s="38">
        <f t="shared" si="0"/>
        <v>0</v>
      </c>
      <c r="E38" s="40"/>
      <c r="F38" s="40">
        <f t="shared" si="1"/>
        <v>0</v>
      </c>
      <c r="H38" s="40"/>
      <c r="I38" s="40">
        <f t="shared" si="2"/>
        <v>0</v>
      </c>
    </row>
    <row r="39" spans="2:9" ht="33" customHeight="1">
      <c r="B39" s="39"/>
      <c r="C39" s="38">
        <f t="shared" si="0"/>
        <v>0</v>
      </c>
      <c r="E39" s="40"/>
      <c r="F39" s="40">
        <f t="shared" si="1"/>
        <v>0</v>
      </c>
      <c r="H39" s="40"/>
      <c r="I39" s="40">
        <f t="shared" si="2"/>
        <v>0</v>
      </c>
    </row>
    <row r="40" spans="2:9" ht="33" customHeight="1">
      <c r="B40" s="39"/>
      <c r="C40" s="38">
        <f t="shared" si="0"/>
        <v>0</v>
      </c>
      <c r="E40" s="40"/>
      <c r="F40" s="40">
        <f t="shared" si="1"/>
        <v>0</v>
      </c>
      <c r="H40" s="40"/>
      <c r="I40" s="40">
        <f t="shared" si="2"/>
        <v>0</v>
      </c>
    </row>
    <row r="41" spans="2:9" ht="33" customHeight="1">
      <c r="B41" s="39"/>
      <c r="C41" s="38">
        <f t="shared" si="0"/>
        <v>0</v>
      </c>
      <c r="E41" s="40"/>
      <c r="F41" s="40">
        <f t="shared" si="1"/>
        <v>0</v>
      </c>
      <c r="H41" s="40"/>
      <c r="I41" s="40">
        <f t="shared" si="2"/>
        <v>0</v>
      </c>
    </row>
    <row r="42" spans="2:9" ht="33" customHeight="1">
      <c r="B42" s="39"/>
      <c r="C42" s="38">
        <f t="shared" si="0"/>
        <v>0</v>
      </c>
      <c r="E42" s="40"/>
      <c r="F42" s="40">
        <f t="shared" si="1"/>
        <v>0</v>
      </c>
      <c r="H42" s="40"/>
      <c r="I42" s="40">
        <f t="shared" si="2"/>
        <v>0</v>
      </c>
    </row>
    <row r="43" spans="2:9" ht="33" customHeight="1">
      <c r="B43" s="39"/>
      <c r="C43" s="38">
        <f t="shared" si="0"/>
        <v>0</v>
      </c>
      <c r="E43" s="40"/>
      <c r="F43" s="40">
        <f t="shared" si="1"/>
        <v>0</v>
      </c>
      <c r="H43" s="40"/>
      <c r="I43" s="40">
        <f t="shared" si="2"/>
        <v>0</v>
      </c>
    </row>
    <row r="44" spans="2:9" ht="33" customHeight="1">
      <c r="B44" s="39"/>
      <c r="C44" s="38">
        <f t="shared" si="0"/>
        <v>0</v>
      </c>
      <c r="E44" s="40"/>
      <c r="F44" s="40">
        <f t="shared" si="1"/>
        <v>0</v>
      </c>
      <c r="H44" s="40"/>
      <c r="I44" s="40">
        <f t="shared" si="2"/>
        <v>0</v>
      </c>
    </row>
    <row r="45" spans="2:9" ht="33" customHeight="1">
      <c r="B45" s="39"/>
      <c r="C45" s="38">
        <f t="shared" si="0"/>
        <v>0</v>
      </c>
      <c r="E45" s="40"/>
      <c r="F45" s="40">
        <f t="shared" si="1"/>
        <v>0</v>
      </c>
      <c r="H45" s="40"/>
      <c r="I45" s="40">
        <f t="shared" si="2"/>
        <v>0</v>
      </c>
    </row>
    <row r="46" spans="2:9" ht="33" customHeight="1">
      <c r="B46" s="39"/>
      <c r="C46" s="38">
        <f t="shared" si="0"/>
        <v>0</v>
      </c>
      <c r="E46" s="40"/>
      <c r="F46" s="40">
        <f t="shared" si="1"/>
        <v>0</v>
      </c>
      <c r="H46" s="40"/>
      <c r="I46" s="40">
        <f t="shared" si="2"/>
        <v>0</v>
      </c>
    </row>
    <row r="47" spans="2:9" ht="33" customHeight="1">
      <c r="B47" s="39"/>
      <c r="C47" s="38">
        <f t="shared" si="0"/>
        <v>0</v>
      </c>
      <c r="E47" s="40"/>
      <c r="F47" s="40">
        <f t="shared" si="1"/>
        <v>0</v>
      </c>
      <c r="H47" s="40"/>
      <c r="I47" s="40">
        <f t="shared" si="2"/>
        <v>0</v>
      </c>
    </row>
    <row r="48" spans="2:9" ht="33" customHeight="1">
      <c r="B48" s="39"/>
      <c r="C48" s="38">
        <f t="shared" si="0"/>
        <v>0</v>
      </c>
      <c r="E48" s="40"/>
      <c r="F48" s="40">
        <f t="shared" si="1"/>
        <v>0</v>
      </c>
      <c r="H48" s="40"/>
      <c r="I48" s="40">
        <f t="shared" si="2"/>
        <v>0</v>
      </c>
    </row>
    <row r="49" spans="2:9" ht="33" customHeight="1">
      <c r="B49" s="39"/>
      <c r="C49" s="38">
        <f t="shared" si="0"/>
        <v>0</v>
      </c>
      <c r="E49" s="40"/>
      <c r="F49" s="40">
        <f t="shared" si="1"/>
        <v>0</v>
      </c>
      <c r="H49" s="40"/>
      <c r="I49" s="40">
        <f t="shared" si="2"/>
        <v>0</v>
      </c>
    </row>
    <row r="50" spans="2:9" ht="33" customHeight="1">
      <c r="B50" s="39"/>
      <c r="C50" s="38">
        <f t="shared" si="0"/>
        <v>0</v>
      </c>
      <c r="E50" s="40"/>
      <c r="F50" s="40">
        <f t="shared" si="1"/>
        <v>0</v>
      </c>
      <c r="H50" s="40"/>
      <c r="I50" s="40">
        <f t="shared" si="2"/>
        <v>0</v>
      </c>
    </row>
    <row r="51" spans="2:9" ht="33" customHeight="1">
      <c r="B51" s="39"/>
      <c r="C51" s="38">
        <f t="shared" si="0"/>
        <v>0</v>
      </c>
      <c r="E51" s="40"/>
      <c r="F51" s="40">
        <f t="shared" si="1"/>
        <v>0</v>
      </c>
      <c r="H51" s="40"/>
      <c r="I51" s="40">
        <f t="shared" si="2"/>
        <v>0</v>
      </c>
    </row>
    <row r="52" spans="2:9" ht="33" customHeight="1">
      <c r="B52" s="39"/>
      <c r="C52" s="38">
        <f t="shared" si="0"/>
        <v>0</v>
      </c>
      <c r="E52" s="40"/>
      <c r="F52" s="40">
        <f t="shared" si="1"/>
        <v>0</v>
      </c>
      <c r="H52" s="40"/>
      <c r="I52" s="40">
        <f t="shared" si="2"/>
        <v>0</v>
      </c>
    </row>
    <row r="53" spans="2:9" ht="33" customHeight="1">
      <c r="B53" s="39"/>
      <c r="C53" s="38">
        <f t="shared" si="0"/>
        <v>0</v>
      </c>
      <c r="E53" s="40"/>
      <c r="F53" s="40">
        <f t="shared" si="1"/>
        <v>0</v>
      </c>
      <c r="H53" s="40"/>
      <c r="I53" s="40">
        <f t="shared" si="2"/>
        <v>0</v>
      </c>
    </row>
    <row r="54" spans="2:9" ht="33" customHeight="1">
      <c r="B54" s="39"/>
      <c r="C54" s="38">
        <f t="shared" si="0"/>
        <v>0</v>
      </c>
      <c r="E54" s="40"/>
      <c r="F54" s="40">
        <f t="shared" si="1"/>
        <v>0</v>
      </c>
      <c r="H54" s="40"/>
      <c r="I54" s="40">
        <f t="shared" si="2"/>
        <v>0</v>
      </c>
    </row>
    <row r="55" spans="2:9" ht="33" customHeight="1">
      <c r="B55" s="39"/>
      <c r="C55" s="38">
        <f t="shared" si="0"/>
        <v>0</v>
      </c>
      <c r="E55" s="40"/>
      <c r="F55" s="40">
        <f t="shared" si="1"/>
        <v>0</v>
      </c>
      <c r="H55" s="40"/>
      <c r="I55" s="40">
        <f t="shared" si="2"/>
        <v>0</v>
      </c>
    </row>
    <row r="56" spans="2:9" ht="33" customHeight="1">
      <c r="B56" s="39"/>
      <c r="C56" s="38">
        <f t="shared" si="0"/>
        <v>0</v>
      </c>
      <c r="E56" s="40"/>
      <c r="F56" s="40">
        <f t="shared" si="1"/>
        <v>0</v>
      </c>
      <c r="H56" s="40"/>
      <c r="I56" s="40">
        <f t="shared" si="2"/>
        <v>0</v>
      </c>
    </row>
    <row r="57" spans="2:9" ht="33" customHeight="1">
      <c r="B57" s="39"/>
      <c r="C57" s="38">
        <f t="shared" si="0"/>
        <v>0</v>
      </c>
      <c r="E57" s="40"/>
      <c r="F57" s="40">
        <f t="shared" si="1"/>
        <v>0</v>
      </c>
      <c r="H57" s="40"/>
      <c r="I57" s="40">
        <f t="shared" si="2"/>
        <v>0</v>
      </c>
    </row>
    <row r="58" spans="2:9" ht="33" customHeight="1">
      <c r="B58" s="39"/>
      <c r="C58" s="38">
        <f t="shared" si="0"/>
        <v>0</v>
      </c>
      <c r="E58" s="40"/>
      <c r="F58" s="40">
        <f t="shared" si="1"/>
        <v>0</v>
      </c>
      <c r="H58" s="40"/>
      <c r="I58" s="40">
        <f t="shared" si="2"/>
        <v>0</v>
      </c>
    </row>
    <row r="59" spans="2:9" ht="33" customHeight="1">
      <c r="B59" s="39"/>
      <c r="C59" s="38">
        <f t="shared" si="0"/>
        <v>0</v>
      </c>
      <c r="E59" s="40"/>
      <c r="F59" s="40">
        <f t="shared" si="1"/>
        <v>0</v>
      </c>
      <c r="H59" s="40"/>
      <c r="I59" s="40">
        <f t="shared" si="2"/>
        <v>0</v>
      </c>
    </row>
    <row r="60" spans="2:9" ht="33" customHeight="1">
      <c r="B60" s="39"/>
      <c r="C60" s="38">
        <f t="shared" si="0"/>
        <v>0</v>
      </c>
      <c r="E60" s="40"/>
      <c r="F60" s="40">
        <f t="shared" si="1"/>
        <v>0</v>
      </c>
      <c r="H60" s="40"/>
      <c r="I60" s="40">
        <f t="shared" si="2"/>
        <v>0</v>
      </c>
    </row>
    <row r="61" spans="2:9">
      <c r="B61" s="36"/>
      <c r="C61" s="35"/>
      <c r="F61" s="35"/>
      <c r="I61" s="35"/>
    </row>
    <row r="62" spans="2:9">
      <c r="B62" s="36"/>
      <c r="C62" s="35"/>
      <c r="F62" s="35"/>
      <c r="I62" s="35"/>
    </row>
    <row r="63" spans="2:9">
      <c r="C63" s="35"/>
      <c r="F63" s="35"/>
      <c r="I63" s="35"/>
    </row>
    <row r="64" spans="2:9">
      <c r="C64" s="35"/>
      <c r="F64" s="35"/>
      <c r="I64" s="35"/>
    </row>
    <row r="65" spans="3:9">
      <c r="C65" s="35"/>
      <c r="F65" s="35"/>
      <c r="I65" s="35"/>
    </row>
    <row r="66" spans="3:9">
      <c r="C66" s="35"/>
      <c r="F66" s="35"/>
      <c r="I66" s="35"/>
    </row>
    <row r="67" spans="3:9">
      <c r="C67" s="35"/>
      <c r="F67" s="35"/>
      <c r="I67" s="35"/>
    </row>
    <row r="68" spans="3:9">
      <c r="C68" s="35"/>
      <c r="F68" s="35"/>
      <c r="I68" s="35"/>
    </row>
    <row r="69" spans="3:9">
      <c r="C69" s="35"/>
      <c r="F69" s="35"/>
      <c r="I69" s="35"/>
    </row>
    <row r="70" spans="3:9">
      <c r="C70" s="35"/>
      <c r="F70" s="35"/>
      <c r="I70" s="35"/>
    </row>
    <row r="71" spans="3:9">
      <c r="C71" s="35"/>
      <c r="F71" s="35"/>
      <c r="I71" s="35"/>
    </row>
    <row r="72" spans="3:9">
      <c r="C72" s="35"/>
      <c r="F72" s="35"/>
      <c r="I72" s="35"/>
    </row>
    <row r="73" spans="3:9">
      <c r="C73" s="35"/>
      <c r="F73" s="35"/>
      <c r="I73" s="35"/>
    </row>
    <row r="74" spans="3:9">
      <c r="C74" s="35"/>
      <c r="F74" s="35"/>
      <c r="I74" s="35"/>
    </row>
    <row r="75" spans="3:9">
      <c r="C75" s="35"/>
      <c r="F75" s="35"/>
      <c r="I75" s="35"/>
    </row>
    <row r="76" spans="3:9">
      <c r="C76" s="35"/>
      <c r="F76" s="35"/>
      <c r="I76" s="35"/>
    </row>
    <row r="77" spans="3:9">
      <c r="C77" s="35"/>
      <c r="F77" s="35"/>
      <c r="I77" s="35"/>
    </row>
    <row r="78" spans="3:9">
      <c r="C78" s="35"/>
      <c r="F78" s="35"/>
      <c r="I78" s="35"/>
    </row>
    <row r="79" spans="3:9">
      <c r="C79" s="35"/>
      <c r="F79" s="35"/>
      <c r="I79" s="35"/>
    </row>
    <row r="80" spans="3:9">
      <c r="C80" s="35"/>
      <c r="F80" s="35"/>
      <c r="I80" s="35"/>
    </row>
    <row r="81" spans="3:9">
      <c r="C81" s="35"/>
      <c r="F81" s="35"/>
      <c r="I81" s="35"/>
    </row>
    <row r="82" spans="3:9">
      <c r="C82" s="35"/>
      <c r="F82" s="35"/>
      <c r="I82" s="35"/>
    </row>
    <row r="83" spans="3:9">
      <c r="C83" s="35"/>
      <c r="F83" s="35"/>
      <c r="I83" s="35"/>
    </row>
    <row r="84" spans="3:9">
      <c r="C84" s="35"/>
      <c r="F84" s="35"/>
      <c r="I84" s="35"/>
    </row>
    <row r="85" spans="3:9">
      <c r="C85" s="35"/>
      <c r="F85" s="35"/>
      <c r="I85" s="35"/>
    </row>
    <row r="86" spans="3:9">
      <c r="C86" s="35"/>
      <c r="F86" s="35"/>
      <c r="I86" s="35"/>
    </row>
    <row r="87" spans="3:9">
      <c r="C87" s="35"/>
      <c r="F87" s="35"/>
      <c r="I87" s="35"/>
    </row>
    <row r="88" spans="3:9">
      <c r="C88" s="35"/>
      <c r="F88" s="35"/>
      <c r="I88" s="35"/>
    </row>
    <row r="89" spans="3:9">
      <c r="C89" s="35"/>
      <c r="F89" s="35"/>
      <c r="I89" s="35"/>
    </row>
    <row r="90" spans="3:9">
      <c r="C90" s="35"/>
      <c r="F90" s="35"/>
      <c r="I90" s="35"/>
    </row>
    <row r="91" spans="3:9">
      <c r="C91" s="35"/>
      <c r="F91" s="35"/>
      <c r="I91" s="35"/>
    </row>
    <row r="92" spans="3:9">
      <c r="C92" s="35"/>
      <c r="F92" s="35"/>
      <c r="I92" s="35"/>
    </row>
    <row r="93" spans="3:9">
      <c r="C93" s="35"/>
      <c r="F93" s="35"/>
      <c r="I93" s="35"/>
    </row>
    <row r="94" spans="3:9">
      <c r="C94" s="35"/>
      <c r="F94" s="35"/>
      <c r="I94" s="35"/>
    </row>
    <row r="95" spans="3:9">
      <c r="C95" s="35"/>
      <c r="F95" s="35"/>
      <c r="I95" s="35"/>
    </row>
    <row r="96" spans="3:9">
      <c r="C96" s="35"/>
      <c r="F96" s="35"/>
      <c r="I96" s="35"/>
    </row>
    <row r="97" spans="3:9">
      <c r="C97" s="35"/>
      <c r="F97" s="35"/>
      <c r="I97" s="35"/>
    </row>
    <row r="98" spans="3:9">
      <c r="C98" s="35"/>
      <c r="F98" s="35"/>
      <c r="I98" s="35"/>
    </row>
    <row r="99" spans="3:9">
      <c r="C99" s="35"/>
      <c r="F99" s="35"/>
      <c r="I99" s="35"/>
    </row>
    <row r="100" spans="3:9">
      <c r="C100" s="35"/>
      <c r="F100" s="35"/>
      <c r="I100" s="35"/>
    </row>
    <row r="101" spans="3:9">
      <c r="C101" s="35"/>
      <c r="F101" s="35"/>
      <c r="I101" s="35"/>
    </row>
    <row r="102" spans="3:9">
      <c r="C102" s="35"/>
      <c r="F102" s="35"/>
      <c r="I102" s="35"/>
    </row>
    <row r="103" spans="3:9">
      <c r="C103" s="35"/>
      <c r="F103" s="35"/>
      <c r="I103" s="35"/>
    </row>
  </sheetData>
  <mergeCells count="4">
    <mergeCell ref="G1:I4"/>
    <mergeCell ref="B6:I7"/>
    <mergeCell ref="M1:S4"/>
    <mergeCell ref="Q17:Q18"/>
  </mergeCells>
  <phoneticPr fontId="8" type="noConversion"/>
  <pageMargins left="0.7" right="0.7" top="0.75" bottom="0.75" header="0.3" footer="0.3"/>
  <pageSetup paperSize="9" scale="39" fitToWidth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8325-3F26-4841-BB86-3852C3A32C9A}">
  <dimension ref="B2:J54"/>
  <sheetViews>
    <sheetView workbookViewId="0">
      <selection activeCell="F7" sqref="F7"/>
    </sheetView>
  </sheetViews>
  <sheetFormatPr defaultRowHeight="16.5"/>
  <sheetData>
    <row r="2" spans="2:10">
      <c r="B2" s="1" cm="1">
        <f t="array" aca="1" ref="B2:C54" ca="1">_xlfn.LET(
  _xlpm.sDate,$B$2, _xlpm.eDate,$C$2, _xlpm.sVal,$D$2, _xlpm.eVal,$E$2,
  _xlpm.hol, _xlfn._xlws.FILTER($K$2:$K$1000, ISNUMBER($K$2:$K$1000)),
  _xlpm.n, NETWORKDAYS(_xlpm.sDate,_xlpm.eDate,_xlpm.hol),
  _xlpm.dates, WORKDAY(_xlpm.sDate-1, _xlfn.SEQUENCE(_xlpm.n), _xlpm.hol),
  _xlpm.total, _xlpm.eVal - _xlpm.sVal,
  _xlpm.base, 0.3,
  _xlpm.w, _xlpm.base + _xlfn.RANDARRAY(_xlpm.n-1,1),
  _xlpm.inc, _xlpm.total * _xlpm.w / SUM(_xlpm.w),
  _xlpm.vals, _xlfn.VSTACK(_xlpm.sVal, _xlpm.sVal + _xlfn.SCAN(0, _xlpm.inc, _xlfn.LAMBDA(_xlpm.a,_xlpm.b, _xlpm.a+_xlpm.b))),
  _xlfn.HSTACK(_xlpm.dates, _xlpm.vals)
)</f>
        <v>45978</v>
      </c>
      <c r="C2" s="37">
        <f ca="1"/>
        <v>1270.7</v>
      </c>
      <c r="D2" s="38"/>
      <c r="E2" s="1" cm="1">
        <f t="array" aca="1" ref="E2:F54" ca="1">_xlfn.LET(
  _xlpm.sDate,$B$3, _xlpm.eDate,$C$3, _xlpm.sVal,$D$3, _xlpm.eVal,$E$3,
  _xlpm.hol, _xlfn._xlws.FILTER($K$2:$K$1000, ISNUMBER($K$2:$K$1000)),
  _xlpm.n, NETWORKDAYS(_xlpm.sDate,_xlpm.eDate,_xlpm.hol),
  _xlpm.dates, WORKDAY(_xlpm.sDate-1, _xlfn.SEQUENCE(_xlpm.n), _xlpm.hol),
  _xlpm.total, _xlpm.eVal - _xlpm.sVal,
  _xlpm.base, 0.3,
  _xlpm.w, _xlpm.base + _xlfn.RANDARRAY(_xlpm.n-1,1),
  _xlpm.inc, _xlpm.total * _xlpm.w / SUM(_xlpm.w),
  _xlpm.vals, _xlfn.VSTACK(_xlpm.sVal, _xlpm.sVal + _xlfn.SCAN(0, _xlpm.inc, _xlfn.LAMBDA(_xlpm.a,_xlpm.b, _xlpm.a+_xlpm.b))),
  _xlfn.HSTACK(_xlpm.dates, _xlpm.vals)
)</f>
        <v>45978</v>
      </c>
      <c r="F2" s="40">
        <f ca="1"/>
        <v>2809.12</v>
      </c>
      <c r="G2" s="40"/>
      <c r="H2" s="1" cm="1">
        <f t="array" aca="1" ref="H2:I54" ca="1">_xlfn.LET(
  _xlpm.sDate,$B$4, _xlpm.eDate,$C$4, _xlpm.sVal,$D$4, _xlpm.eVal,$E$4,
  _xlpm.hol, _xlfn._xlws.FILTER($K$2:$K$1000, ISNUMBER($K$2:$K$1000)),
  _xlpm.n, NETWORKDAYS(_xlpm.sDate,_xlpm.eDate,_xlpm.hol),
  _xlpm.dates, WORKDAY(_xlpm.sDate-1, _xlfn.SEQUENCE(_xlpm.n), _xlpm.hol),
  _xlpm.total, _xlpm.eVal - _xlpm.sVal,
  _xlpm.base, 0.3,
  _xlpm.w, _xlpm.base + _xlfn.RANDARRAY(_xlpm.n-1,1),
  _xlpm.inc, _xlpm.total * _xlpm.w / SUM(_xlpm.w),
  _xlpm.vals, _xlfn.VSTACK(_xlpm.sVal, _xlpm.sVal + _xlfn.SCAN(0, _xlpm.inc, _xlfn.LAMBDA(_xlpm.a,_xlpm.b, _xlpm.a+_xlpm.b))),
  _xlfn.HSTACK(_xlpm.dates, _xlpm.vals)
)</f>
        <v>45978</v>
      </c>
      <c r="I2" s="40">
        <f ca="1"/>
        <v>7433.51</v>
      </c>
      <c r="J2" s="40"/>
    </row>
    <row r="3" spans="2:10">
      <c r="B3" s="1">
        <f ca="1"/>
        <v>45979</v>
      </c>
      <c r="C3" s="39">
        <f ca="1"/>
        <v>1275.1470420989117</v>
      </c>
      <c r="D3" s="38">
        <f ca="1">C3-C2</f>
        <v>4.4470420989116519</v>
      </c>
      <c r="E3" s="1">
        <f ca="1"/>
        <v>45979</v>
      </c>
      <c r="F3" s="40">
        <f ca="1"/>
        <v>2817.2689546288848</v>
      </c>
      <c r="G3" s="40">
        <f ca="1">F3-F2</f>
        <v>8.1489546288848942</v>
      </c>
      <c r="H3" s="1">
        <f ca="1"/>
        <v>45979</v>
      </c>
      <c r="I3" s="40">
        <f ca="1"/>
        <v>7437.6606599877887</v>
      </c>
      <c r="J3" s="40">
        <f ca="1">I3-I2</f>
        <v>4.1506599877884582</v>
      </c>
    </row>
    <row r="4" spans="2:10">
      <c r="B4" s="1">
        <f ca="1"/>
        <v>45980</v>
      </c>
      <c r="C4" s="39">
        <f ca="1"/>
        <v>1278.2781908042634</v>
      </c>
      <c r="D4" s="38">
        <f t="shared" ref="D4:D54" ca="1" si="0">C4-C3</f>
        <v>3.131148705351734</v>
      </c>
      <c r="E4" s="1">
        <f ca="1"/>
        <v>45980</v>
      </c>
      <c r="F4" s="40">
        <f ca="1"/>
        <v>2820.4441397904816</v>
      </c>
      <c r="G4" s="40">
        <f t="shared" ref="G4:G54" ca="1" si="1">F4-F3</f>
        <v>3.1751851615968008</v>
      </c>
      <c r="H4" s="1">
        <f ca="1"/>
        <v>45980</v>
      </c>
      <c r="I4" s="40">
        <f ca="1"/>
        <v>7441.18891672068</v>
      </c>
      <c r="J4" s="40">
        <f t="shared" ref="J4:J54" ca="1" si="2">I4-I3</f>
        <v>3.5282567328913501</v>
      </c>
    </row>
    <row r="5" spans="2:10">
      <c r="B5" s="1">
        <f ca="1"/>
        <v>45981</v>
      </c>
      <c r="C5" s="39">
        <f ca="1"/>
        <v>1280.2405254759501</v>
      </c>
      <c r="D5" s="38">
        <f t="shared" ca="1" si="0"/>
        <v>1.9623346716866763</v>
      </c>
      <c r="E5" s="1">
        <f ca="1"/>
        <v>45981</v>
      </c>
      <c r="F5" s="40">
        <f ca="1"/>
        <v>2824.2142799023109</v>
      </c>
      <c r="G5" s="40">
        <f t="shared" ca="1" si="1"/>
        <v>3.7701401118292779</v>
      </c>
      <c r="H5" s="1">
        <f ca="1"/>
        <v>45981</v>
      </c>
      <c r="I5" s="40">
        <f ca="1"/>
        <v>7445.5410518528761</v>
      </c>
      <c r="J5" s="40">
        <f t="shared" ca="1" si="2"/>
        <v>4.3521351321960537</v>
      </c>
    </row>
    <row r="6" spans="2:10">
      <c r="B6" s="1">
        <f ca="1"/>
        <v>45982</v>
      </c>
      <c r="C6" s="39">
        <f ca="1"/>
        <v>1284.0421997067103</v>
      </c>
      <c r="D6" s="38">
        <f t="shared" ca="1" si="0"/>
        <v>3.8016742307602271</v>
      </c>
      <c r="E6" s="1">
        <f ca="1"/>
        <v>45982</v>
      </c>
      <c r="F6" s="40">
        <f ca="1"/>
        <v>2832.7611730875374</v>
      </c>
      <c r="G6" s="40">
        <f t="shared" ca="1" si="1"/>
        <v>8.5468931852265086</v>
      </c>
      <c r="H6" s="1">
        <f ca="1"/>
        <v>45982</v>
      </c>
      <c r="I6" s="40">
        <f ca="1"/>
        <v>7449.5959860088215</v>
      </c>
      <c r="J6" s="40">
        <f t="shared" ca="1" si="2"/>
        <v>4.0549341559453751</v>
      </c>
    </row>
    <row r="7" spans="2:10">
      <c r="B7" s="1">
        <f ca="1"/>
        <v>45985</v>
      </c>
      <c r="C7" s="39">
        <f ca="1"/>
        <v>1286.919871761758</v>
      </c>
      <c r="D7" s="38">
        <f t="shared" ca="1" si="0"/>
        <v>2.8776720550476966</v>
      </c>
      <c r="E7" s="1">
        <f ca="1"/>
        <v>45985</v>
      </c>
      <c r="F7" s="40">
        <f ca="1"/>
        <v>2835.9372720129832</v>
      </c>
      <c r="G7" s="40">
        <f t="shared" ca="1" si="1"/>
        <v>3.1760989254457854</v>
      </c>
      <c r="H7" s="1">
        <f ca="1"/>
        <v>45985</v>
      </c>
      <c r="I7" s="40">
        <f ca="1"/>
        <v>7453.461788149154</v>
      </c>
      <c r="J7" s="40">
        <f t="shared" ca="1" si="2"/>
        <v>3.865802140332562</v>
      </c>
    </row>
    <row r="8" spans="2:10">
      <c r="B8" s="1">
        <f ca="1"/>
        <v>45986</v>
      </c>
      <c r="C8" s="39">
        <f ca="1"/>
        <v>1291.7178151552798</v>
      </c>
      <c r="D8" s="38">
        <f t="shared" ca="1" si="0"/>
        <v>4.7979433935217912</v>
      </c>
      <c r="E8" s="1">
        <f ca="1"/>
        <v>45986</v>
      </c>
      <c r="F8" s="40">
        <f ca="1"/>
        <v>2843.5570486190895</v>
      </c>
      <c r="G8" s="40">
        <f t="shared" ca="1" si="1"/>
        <v>7.6197766061063703</v>
      </c>
      <c r="H8" s="1">
        <f ca="1"/>
        <v>45986</v>
      </c>
      <c r="I8" s="40">
        <f ca="1"/>
        <v>7455.1629581606094</v>
      </c>
      <c r="J8" s="40">
        <f t="shared" ca="1" si="2"/>
        <v>1.7011700114553605</v>
      </c>
    </row>
    <row r="9" spans="2:10">
      <c r="B9" s="1">
        <f ca="1"/>
        <v>45987</v>
      </c>
      <c r="C9" s="39">
        <f ca="1"/>
        <v>1294.663007605021</v>
      </c>
      <c r="D9" s="38">
        <f t="shared" ca="1" si="0"/>
        <v>2.945192449741171</v>
      </c>
      <c r="E9" s="1">
        <f ca="1"/>
        <v>45987</v>
      </c>
      <c r="F9" s="40">
        <f ca="1"/>
        <v>2846.9570538514472</v>
      </c>
      <c r="G9" s="40">
        <f t="shared" ca="1" si="1"/>
        <v>3.400005232357671</v>
      </c>
      <c r="H9" s="1">
        <f ca="1"/>
        <v>45987</v>
      </c>
      <c r="I9" s="40">
        <f ca="1"/>
        <v>7460.254435327889</v>
      </c>
      <c r="J9" s="40">
        <f t="shared" ca="1" si="2"/>
        <v>5.0914771672796633</v>
      </c>
    </row>
    <row r="10" spans="2:10">
      <c r="B10" s="1">
        <f ca="1"/>
        <v>45988</v>
      </c>
      <c r="C10" s="39">
        <f ca="1"/>
        <v>1296.3204372777564</v>
      </c>
      <c r="D10" s="38">
        <f t="shared" ca="1" si="0"/>
        <v>1.6574296727353612</v>
      </c>
      <c r="E10" s="1">
        <f ca="1"/>
        <v>45988</v>
      </c>
      <c r="F10" s="40">
        <f ca="1"/>
        <v>2855.2206418922451</v>
      </c>
      <c r="G10" s="40">
        <f t="shared" ca="1" si="1"/>
        <v>8.263588040797913</v>
      </c>
      <c r="H10" s="1">
        <f ca="1"/>
        <v>45988</v>
      </c>
      <c r="I10" s="40">
        <f ca="1"/>
        <v>7464.0890141343834</v>
      </c>
      <c r="J10" s="40">
        <f t="shared" ca="1" si="2"/>
        <v>3.8345788064943918</v>
      </c>
    </row>
    <row r="11" spans="2:10">
      <c r="B11" s="1">
        <f ca="1"/>
        <v>45989</v>
      </c>
      <c r="C11" s="39">
        <f ca="1"/>
        <v>1300.5014122507212</v>
      </c>
      <c r="D11" s="38">
        <f t="shared" ca="1" si="0"/>
        <v>4.1809749729648047</v>
      </c>
      <c r="E11" s="1">
        <f ca="1"/>
        <v>45989</v>
      </c>
      <c r="F11" s="40">
        <f ca="1"/>
        <v>2863.9188125929431</v>
      </c>
      <c r="G11" s="40">
        <f t="shared" ca="1" si="1"/>
        <v>8.6981707006980287</v>
      </c>
      <c r="H11" s="1">
        <f ca="1"/>
        <v>45989</v>
      </c>
      <c r="I11" s="40">
        <f ca="1"/>
        <v>7466.9491893965042</v>
      </c>
      <c r="J11" s="40">
        <f t="shared" ca="1" si="2"/>
        <v>2.8601752621207197</v>
      </c>
    </row>
    <row r="12" spans="2:10">
      <c r="B12" s="1">
        <f ca="1"/>
        <v>45992</v>
      </c>
      <c r="C12" s="39">
        <f ca="1"/>
        <v>1301.8077643877043</v>
      </c>
      <c r="D12" s="38">
        <f t="shared" ca="1" si="0"/>
        <v>1.3063521369831506</v>
      </c>
      <c r="E12" s="1">
        <f ca="1"/>
        <v>45992</v>
      </c>
      <c r="F12" s="40">
        <f ca="1"/>
        <v>2868.595898691658</v>
      </c>
      <c r="G12" s="40">
        <f t="shared" ca="1" si="1"/>
        <v>4.6770860987148808</v>
      </c>
      <c r="H12" s="1">
        <f ca="1"/>
        <v>45992</v>
      </c>
      <c r="I12" s="40">
        <f ca="1"/>
        <v>7470.605684283928</v>
      </c>
      <c r="J12" s="40">
        <f t="shared" ca="1" si="2"/>
        <v>3.6564948874238326</v>
      </c>
    </row>
    <row r="13" spans="2:10">
      <c r="B13" s="1">
        <f ca="1"/>
        <v>45993</v>
      </c>
      <c r="C13" s="39">
        <f ca="1"/>
        <v>1303.4809606848037</v>
      </c>
      <c r="D13" s="38">
        <f t="shared" ca="1" si="0"/>
        <v>1.6731962970993663</v>
      </c>
      <c r="E13" s="1">
        <f ca="1"/>
        <v>45993</v>
      </c>
      <c r="F13" s="40">
        <f ca="1"/>
        <v>2878.2912535370451</v>
      </c>
      <c r="G13" s="40">
        <f t="shared" ca="1" si="1"/>
        <v>9.6953548453871008</v>
      </c>
      <c r="H13" s="1">
        <f ca="1"/>
        <v>45993</v>
      </c>
      <c r="I13" s="40">
        <f ca="1"/>
        <v>7472.7712291258631</v>
      </c>
      <c r="J13" s="40">
        <f t="shared" ca="1" si="2"/>
        <v>2.165544841935116</v>
      </c>
    </row>
    <row r="14" spans="2:10">
      <c r="B14" s="1">
        <f ca="1"/>
        <v>45994</v>
      </c>
      <c r="C14" s="39">
        <f ca="1"/>
        <v>1307.4218353614058</v>
      </c>
      <c r="D14" s="38">
        <f t="shared" ca="1" si="0"/>
        <v>3.9408746766021068</v>
      </c>
      <c r="E14" s="1">
        <f ca="1"/>
        <v>45994</v>
      </c>
      <c r="F14" s="40">
        <f ca="1"/>
        <v>2887.6103249868756</v>
      </c>
      <c r="G14" s="40">
        <f t="shared" ca="1" si="1"/>
        <v>9.3190714498305169</v>
      </c>
      <c r="H14" s="1">
        <f ca="1"/>
        <v>45994</v>
      </c>
      <c r="I14" s="40">
        <f ca="1"/>
        <v>7476.1556122148559</v>
      </c>
      <c r="J14" s="40">
        <f t="shared" ca="1" si="2"/>
        <v>3.3843830889927631</v>
      </c>
    </row>
    <row r="15" spans="2:10">
      <c r="B15" s="1">
        <f ca="1"/>
        <v>45995</v>
      </c>
      <c r="C15" s="39">
        <f ca="1"/>
        <v>1312.1349960715363</v>
      </c>
      <c r="D15" s="38">
        <f t="shared" ca="1" si="0"/>
        <v>4.7131607101305235</v>
      </c>
      <c r="E15" s="1">
        <f ca="1"/>
        <v>45995</v>
      </c>
      <c r="F15" s="40">
        <f ca="1"/>
        <v>2890.5860974531611</v>
      </c>
      <c r="G15" s="40">
        <f t="shared" ca="1" si="1"/>
        <v>2.9757724662854343</v>
      </c>
      <c r="H15" s="1">
        <f ca="1"/>
        <v>45995</v>
      </c>
      <c r="I15" s="40">
        <f ca="1"/>
        <v>7478.6918838613765</v>
      </c>
      <c r="J15" s="40">
        <f t="shared" ca="1" si="2"/>
        <v>2.5362716465206177</v>
      </c>
    </row>
    <row r="16" spans="2:10">
      <c r="B16" s="1">
        <f ca="1"/>
        <v>45996</v>
      </c>
      <c r="C16" s="39">
        <f ca="1"/>
        <v>1316.710652631386</v>
      </c>
      <c r="D16" s="38">
        <f t="shared" ca="1" si="0"/>
        <v>4.5756565598496763</v>
      </c>
      <c r="E16" s="1">
        <f ca="1"/>
        <v>45996</v>
      </c>
      <c r="F16" s="40">
        <f ca="1"/>
        <v>2897.1527896029947</v>
      </c>
      <c r="G16" s="40">
        <f t="shared" ca="1" si="1"/>
        <v>6.5666921498336706</v>
      </c>
      <c r="H16" s="1">
        <f ca="1"/>
        <v>45996</v>
      </c>
      <c r="I16" s="40">
        <f ca="1"/>
        <v>7483.629792293631</v>
      </c>
      <c r="J16" s="40">
        <f t="shared" ca="1" si="2"/>
        <v>4.9379084322545168</v>
      </c>
    </row>
    <row r="17" spans="2:10">
      <c r="B17" s="1">
        <f ca="1"/>
        <v>45999</v>
      </c>
      <c r="C17" s="39">
        <f ca="1"/>
        <v>1320.3508850859273</v>
      </c>
      <c r="D17" s="38">
        <f t="shared" ca="1" si="0"/>
        <v>3.6402324545413194</v>
      </c>
      <c r="E17" s="1">
        <f ca="1"/>
        <v>45999</v>
      </c>
      <c r="F17" s="40">
        <f ca="1"/>
        <v>2900.3627132246729</v>
      </c>
      <c r="G17" s="40">
        <f t="shared" ca="1" si="1"/>
        <v>3.2099236216781719</v>
      </c>
      <c r="H17" s="1">
        <f ca="1"/>
        <v>45999</v>
      </c>
      <c r="I17" s="40">
        <f ca="1"/>
        <v>7487.9975748886791</v>
      </c>
      <c r="J17" s="40">
        <f t="shared" ca="1" si="2"/>
        <v>4.3677825950480837</v>
      </c>
    </row>
    <row r="18" spans="2:10">
      <c r="B18" s="1">
        <f ca="1"/>
        <v>46000</v>
      </c>
      <c r="C18" s="39">
        <f ca="1"/>
        <v>1322.6309778664317</v>
      </c>
      <c r="D18" s="38">
        <f t="shared" ca="1" si="0"/>
        <v>2.2800927805044466</v>
      </c>
      <c r="E18" s="1">
        <f ca="1"/>
        <v>46000</v>
      </c>
      <c r="F18" s="40">
        <f ca="1"/>
        <v>2905.2111732199742</v>
      </c>
      <c r="G18" s="40">
        <f t="shared" ca="1" si="1"/>
        <v>4.8484599953012548</v>
      </c>
      <c r="H18" s="1">
        <f ca="1"/>
        <v>46000</v>
      </c>
      <c r="I18" s="40">
        <f ca="1"/>
        <v>7489.6810082958991</v>
      </c>
      <c r="J18" s="40">
        <f t="shared" ca="1" si="2"/>
        <v>1.6834334072200363</v>
      </c>
    </row>
    <row r="19" spans="2:10">
      <c r="B19" s="1">
        <f ca="1"/>
        <v>46001</v>
      </c>
      <c r="C19" s="39">
        <f ca="1"/>
        <v>1326.8722198773139</v>
      </c>
      <c r="D19" s="38">
        <f t="shared" ca="1" si="0"/>
        <v>4.2412420108821607</v>
      </c>
      <c r="E19" s="1">
        <f ca="1"/>
        <v>46001</v>
      </c>
      <c r="F19" s="40">
        <f ca="1"/>
        <v>2907.588886841766</v>
      </c>
      <c r="G19" s="40">
        <f t="shared" ca="1" si="1"/>
        <v>2.3777136217918269</v>
      </c>
      <c r="H19" s="1">
        <f ca="1"/>
        <v>46001</v>
      </c>
      <c r="I19" s="40">
        <f ca="1"/>
        <v>7493.5978578253616</v>
      </c>
      <c r="J19" s="40">
        <f t="shared" ca="1" si="2"/>
        <v>3.9168495294625245</v>
      </c>
    </row>
    <row r="20" spans="2:10">
      <c r="B20" s="1">
        <f ca="1"/>
        <v>46002</v>
      </c>
      <c r="C20" s="39">
        <f ca="1"/>
        <v>1330.3201561608694</v>
      </c>
      <c r="D20" s="38">
        <f t="shared" ca="1" si="0"/>
        <v>3.4479362835554639</v>
      </c>
      <c r="E20" s="1">
        <f ca="1"/>
        <v>46002</v>
      </c>
      <c r="F20" s="40">
        <f ca="1"/>
        <v>2914.1760352146844</v>
      </c>
      <c r="G20" s="40">
        <f t="shared" ca="1" si="1"/>
        <v>6.5871483729183637</v>
      </c>
      <c r="H20" s="1">
        <f ca="1"/>
        <v>46002</v>
      </c>
      <c r="I20" s="40">
        <f ca="1"/>
        <v>7494.8576374456125</v>
      </c>
      <c r="J20" s="40">
        <f t="shared" ca="1" si="2"/>
        <v>1.2597796202508107</v>
      </c>
    </row>
    <row r="21" spans="2:10">
      <c r="B21" s="1">
        <f ca="1"/>
        <v>46003</v>
      </c>
      <c r="C21" s="39">
        <f ca="1"/>
        <v>1333.3930200110642</v>
      </c>
      <c r="D21" s="38">
        <f t="shared" ca="1" si="0"/>
        <v>3.0728638501948353</v>
      </c>
      <c r="E21" s="1">
        <f ca="1"/>
        <v>46003</v>
      </c>
      <c r="F21" s="40">
        <f ca="1"/>
        <v>2919.5758028836126</v>
      </c>
      <c r="G21" s="40">
        <f t="shared" ca="1" si="1"/>
        <v>5.3997676689282343</v>
      </c>
      <c r="H21" s="1">
        <f ca="1"/>
        <v>46003</v>
      </c>
      <c r="I21" s="40">
        <f ca="1"/>
        <v>7498.7249774235715</v>
      </c>
      <c r="J21" s="40">
        <f t="shared" ca="1" si="2"/>
        <v>3.8673399779590909</v>
      </c>
    </row>
    <row r="22" spans="2:10">
      <c r="B22" s="1">
        <f ca="1"/>
        <v>46006</v>
      </c>
      <c r="C22" s="39">
        <f ca="1"/>
        <v>1335.4753127321439</v>
      </c>
      <c r="D22" s="38">
        <f t="shared" ca="1" si="0"/>
        <v>2.0822927210797388</v>
      </c>
      <c r="E22" s="1">
        <f ca="1"/>
        <v>46006</v>
      </c>
      <c r="F22" s="40">
        <f ca="1"/>
        <v>2927.2428608844257</v>
      </c>
      <c r="G22" s="40">
        <f t="shared" ca="1" si="1"/>
        <v>7.6670580008130855</v>
      </c>
      <c r="H22" s="1">
        <f ca="1"/>
        <v>46006</v>
      </c>
      <c r="I22" s="40">
        <f ca="1"/>
        <v>7500.6770310354932</v>
      </c>
      <c r="J22" s="40">
        <f t="shared" ca="1" si="2"/>
        <v>1.9520536119216558</v>
      </c>
    </row>
    <row r="23" spans="2:10">
      <c r="B23" s="1">
        <f ca="1"/>
        <v>46007</v>
      </c>
      <c r="C23" s="39">
        <f ca="1"/>
        <v>1337.2151215989106</v>
      </c>
      <c r="D23" s="38">
        <f t="shared" ca="1" si="0"/>
        <v>1.7398088667666798</v>
      </c>
      <c r="E23" s="1">
        <f ca="1"/>
        <v>46007</v>
      </c>
      <c r="F23" s="40">
        <f ca="1"/>
        <v>2935.1131593307487</v>
      </c>
      <c r="G23" s="40">
        <f t="shared" ca="1" si="1"/>
        <v>7.8702984463229768</v>
      </c>
      <c r="H23" s="1">
        <f ca="1"/>
        <v>46007</v>
      </c>
      <c r="I23" s="40">
        <f ca="1"/>
        <v>7505.8755999581444</v>
      </c>
      <c r="J23" s="40">
        <f t="shared" ca="1" si="2"/>
        <v>5.1985689226512477</v>
      </c>
    </row>
    <row r="24" spans="2:10">
      <c r="B24" s="1">
        <f ca="1"/>
        <v>46008</v>
      </c>
      <c r="C24" s="39">
        <f ca="1"/>
        <v>1338.5083333658665</v>
      </c>
      <c r="D24" s="38">
        <f t="shared" ca="1" si="0"/>
        <v>1.293211766955892</v>
      </c>
      <c r="E24" s="1">
        <f ca="1"/>
        <v>46008</v>
      </c>
      <c r="F24" s="40">
        <f ca="1"/>
        <v>2943.2172661541649</v>
      </c>
      <c r="G24" s="40">
        <f t="shared" ca="1" si="1"/>
        <v>8.1041068234162594</v>
      </c>
      <c r="H24" s="1">
        <f ca="1"/>
        <v>46008</v>
      </c>
      <c r="I24" s="40">
        <f ca="1"/>
        <v>7510.2772896197175</v>
      </c>
      <c r="J24" s="40">
        <f t="shared" ca="1" si="2"/>
        <v>4.401689661573073</v>
      </c>
    </row>
    <row r="25" spans="2:10">
      <c r="B25" s="1">
        <f ca="1"/>
        <v>46009</v>
      </c>
      <c r="C25" s="39">
        <f ca="1"/>
        <v>1343.7551586241914</v>
      </c>
      <c r="D25" s="38">
        <f t="shared" ca="1" si="0"/>
        <v>5.2468252583248614</v>
      </c>
      <c r="E25" s="1">
        <f ca="1"/>
        <v>46009</v>
      </c>
      <c r="F25" s="40">
        <f ca="1"/>
        <v>2950.985902125592</v>
      </c>
      <c r="G25" s="40">
        <f t="shared" ca="1" si="1"/>
        <v>7.768635971427102</v>
      </c>
      <c r="H25" s="1">
        <f ca="1"/>
        <v>46009</v>
      </c>
      <c r="I25" s="40">
        <f ca="1"/>
        <v>7512.6377406433976</v>
      </c>
      <c r="J25" s="40">
        <f t="shared" ca="1" si="2"/>
        <v>2.3604510236800706</v>
      </c>
    </row>
    <row r="26" spans="2:10">
      <c r="B26" s="1">
        <f ca="1"/>
        <v>46010</v>
      </c>
      <c r="C26" s="39">
        <f ca="1"/>
        <v>1345.4682977985149</v>
      </c>
      <c r="D26" s="38">
        <f t="shared" ca="1" si="0"/>
        <v>1.7131391743234872</v>
      </c>
      <c r="E26" s="1">
        <f ca="1"/>
        <v>46010</v>
      </c>
      <c r="F26" s="40">
        <f ca="1"/>
        <v>2959.861300759419</v>
      </c>
      <c r="G26" s="40">
        <f t="shared" ca="1" si="1"/>
        <v>8.8753986338269897</v>
      </c>
      <c r="H26" s="1">
        <f ca="1"/>
        <v>46010</v>
      </c>
      <c r="I26" s="40">
        <f ca="1"/>
        <v>7516.0380695868816</v>
      </c>
      <c r="J26" s="40">
        <f t="shared" ca="1" si="2"/>
        <v>3.4003289434840553</v>
      </c>
    </row>
    <row r="27" spans="2:10">
      <c r="B27" s="1">
        <f ca="1"/>
        <v>46013</v>
      </c>
      <c r="C27" s="39">
        <f ca="1"/>
        <v>1347.6294619685095</v>
      </c>
      <c r="D27" s="38">
        <f t="shared" ca="1" si="0"/>
        <v>2.1611641699946631</v>
      </c>
      <c r="E27" s="1">
        <f ca="1"/>
        <v>46013</v>
      </c>
      <c r="F27" s="40">
        <f ca="1"/>
        <v>2969.3365406729404</v>
      </c>
      <c r="G27" s="40">
        <f t="shared" ca="1" si="1"/>
        <v>9.4752399135213636</v>
      </c>
      <c r="H27" s="1">
        <f ca="1"/>
        <v>46013</v>
      </c>
      <c r="I27" s="40">
        <f ca="1"/>
        <v>7517.6572188052569</v>
      </c>
      <c r="J27" s="40">
        <f t="shared" ca="1" si="2"/>
        <v>1.6191492183752416</v>
      </c>
    </row>
    <row r="28" spans="2:10">
      <c r="B28" s="1">
        <f ca="1"/>
        <v>46014</v>
      </c>
      <c r="C28" s="39">
        <f ca="1"/>
        <v>1349.8414148293577</v>
      </c>
      <c r="D28" s="38">
        <f t="shared" ca="1" si="0"/>
        <v>2.2119528608482142</v>
      </c>
      <c r="E28" s="1">
        <f ca="1"/>
        <v>46014</v>
      </c>
      <c r="F28" s="40">
        <f ca="1"/>
        <v>2977.6691831587873</v>
      </c>
      <c r="G28" s="40">
        <f t="shared" ca="1" si="1"/>
        <v>8.3326424858469181</v>
      </c>
      <c r="H28" s="1">
        <f ca="1"/>
        <v>46014</v>
      </c>
      <c r="I28" s="40">
        <f ca="1"/>
        <v>7521.1798889095362</v>
      </c>
      <c r="J28" s="40">
        <f t="shared" ca="1" si="2"/>
        <v>3.5226701042793138</v>
      </c>
    </row>
    <row r="29" spans="2:10">
      <c r="B29" s="1">
        <f ca="1"/>
        <v>46015</v>
      </c>
      <c r="C29" s="39">
        <f ca="1"/>
        <v>1351.1888947794905</v>
      </c>
      <c r="D29" s="38">
        <f t="shared" ca="1" si="0"/>
        <v>1.3474799501327652</v>
      </c>
      <c r="E29" s="1">
        <f ca="1"/>
        <v>46015</v>
      </c>
      <c r="F29" s="40">
        <f ca="1"/>
        <v>2982.5841510469772</v>
      </c>
      <c r="G29" s="40">
        <f t="shared" ca="1" si="1"/>
        <v>4.914967888189949</v>
      </c>
      <c r="H29" s="1">
        <f ca="1"/>
        <v>46015</v>
      </c>
      <c r="I29" s="40">
        <f ca="1"/>
        <v>7523.9746069318571</v>
      </c>
      <c r="J29" s="40">
        <f t="shared" ca="1" si="2"/>
        <v>2.7947180223209216</v>
      </c>
    </row>
    <row r="30" spans="2:10">
      <c r="B30" s="1">
        <f ca="1"/>
        <v>46017</v>
      </c>
      <c r="C30" s="39">
        <f ca="1"/>
        <v>1355.0950991093159</v>
      </c>
      <c r="D30" s="38">
        <f t="shared" ca="1" si="0"/>
        <v>3.9062043298254139</v>
      </c>
      <c r="E30" s="1">
        <f ca="1"/>
        <v>46017</v>
      </c>
      <c r="F30" s="40">
        <f ca="1"/>
        <v>2987.9309768154585</v>
      </c>
      <c r="G30" s="40">
        <f t="shared" ca="1" si="1"/>
        <v>5.346825768481267</v>
      </c>
      <c r="H30" s="1">
        <f ca="1"/>
        <v>46017</v>
      </c>
      <c r="I30" s="40">
        <f ca="1"/>
        <v>7529.251287032148</v>
      </c>
      <c r="J30" s="40">
        <f t="shared" ca="1" si="2"/>
        <v>5.2766801002908323</v>
      </c>
    </row>
    <row r="31" spans="2:10">
      <c r="B31" s="1">
        <f ca="1"/>
        <v>46020</v>
      </c>
      <c r="C31" s="39">
        <f ca="1"/>
        <v>1359.6449586236436</v>
      </c>
      <c r="D31" s="38">
        <f t="shared" ca="1" si="0"/>
        <v>4.5498595143276361</v>
      </c>
      <c r="E31" s="1">
        <f ca="1"/>
        <v>46020</v>
      </c>
      <c r="F31" s="40">
        <f ca="1"/>
        <v>2992.0235686848819</v>
      </c>
      <c r="G31" s="40">
        <f t="shared" ca="1" si="1"/>
        <v>4.0925918694233587</v>
      </c>
      <c r="H31" s="1">
        <f ca="1"/>
        <v>46020</v>
      </c>
      <c r="I31" s="40">
        <f ca="1"/>
        <v>7532.1078475203531</v>
      </c>
      <c r="J31" s="40">
        <f t="shared" ca="1" si="2"/>
        <v>2.8565604882051048</v>
      </c>
    </row>
    <row r="32" spans="2:10">
      <c r="B32" s="1">
        <f ca="1"/>
        <v>46021</v>
      </c>
      <c r="C32" s="39">
        <f ca="1"/>
        <v>1362.3114378789789</v>
      </c>
      <c r="D32" s="38">
        <f t="shared" ca="1" si="0"/>
        <v>2.6664792553353891</v>
      </c>
      <c r="E32" s="1">
        <f ca="1"/>
        <v>46021</v>
      </c>
      <c r="F32" s="40">
        <f ca="1"/>
        <v>3001.6176289348673</v>
      </c>
      <c r="G32" s="40">
        <f t="shared" ca="1" si="1"/>
        <v>9.5940602499854322</v>
      </c>
      <c r="H32" s="1">
        <f ca="1"/>
        <v>46021</v>
      </c>
      <c r="I32" s="40">
        <f ca="1"/>
        <v>7533.6886734909895</v>
      </c>
      <c r="J32" s="40">
        <f t="shared" ca="1" si="2"/>
        <v>1.580825970636397</v>
      </c>
    </row>
    <row r="33" spans="2:10">
      <c r="B33" s="1">
        <f ca="1"/>
        <v>46022</v>
      </c>
      <c r="C33" s="39">
        <f ca="1"/>
        <v>1365.5303643504685</v>
      </c>
      <c r="D33" s="38">
        <f t="shared" ca="1" si="0"/>
        <v>3.2189264714895671</v>
      </c>
      <c r="E33" s="1">
        <f ca="1"/>
        <v>46022</v>
      </c>
      <c r="F33" s="40">
        <f ca="1"/>
        <v>3011.2474334014955</v>
      </c>
      <c r="G33" s="40">
        <f t="shared" ca="1" si="1"/>
        <v>9.6298044666282294</v>
      </c>
      <c r="H33" s="1">
        <f ca="1"/>
        <v>46022</v>
      </c>
      <c r="I33" s="40">
        <f ca="1"/>
        <v>7535.3521273003835</v>
      </c>
      <c r="J33" s="40">
        <f t="shared" ca="1" si="2"/>
        <v>1.6634538093940137</v>
      </c>
    </row>
    <row r="34" spans="2:10">
      <c r="B34" s="1">
        <f ca="1"/>
        <v>46024</v>
      </c>
      <c r="C34" s="39">
        <f ca="1"/>
        <v>1367.4421487169952</v>
      </c>
      <c r="D34" s="38">
        <f t="shared" ca="1" si="0"/>
        <v>1.9117843665267173</v>
      </c>
      <c r="E34" s="1">
        <f ca="1"/>
        <v>46024</v>
      </c>
      <c r="F34" s="40">
        <f ca="1"/>
        <v>3019.5376709392285</v>
      </c>
      <c r="G34" s="40">
        <f t="shared" ca="1" si="1"/>
        <v>8.2902375377329918</v>
      </c>
      <c r="H34" s="1">
        <f ca="1"/>
        <v>46024</v>
      </c>
      <c r="I34" s="40">
        <f ca="1"/>
        <v>7540.2970637585277</v>
      </c>
      <c r="J34" s="40">
        <f t="shared" ca="1" si="2"/>
        <v>4.9449364581441841</v>
      </c>
    </row>
    <row r="35" spans="2:10">
      <c r="B35" s="1">
        <f ca="1"/>
        <v>46027</v>
      </c>
      <c r="C35" s="39">
        <f ca="1"/>
        <v>1370.3921834992327</v>
      </c>
      <c r="D35" s="38">
        <f t="shared" ca="1" si="0"/>
        <v>2.9500347822374806</v>
      </c>
      <c r="E35" s="1">
        <f ca="1"/>
        <v>46027</v>
      </c>
      <c r="F35" s="40">
        <f ca="1"/>
        <v>3026.2820679858874</v>
      </c>
      <c r="G35" s="40">
        <f t="shared" ca="1" si="1"/>
        <v>6.7443970466588326</v>
      </c>
      <c r="H35" s="1">
        <f ca="1"/>
        <v>46027</v>
      </c>
      <c r="I35" s="40">
        <f ca="1"/>
        <v>7544.4709666380159</v>
      </c>
      <c r="J35" s="40">
        <f t="shared" ca="1" si="2"/>
        <v>4.173902879488196</v>
      </c>
    </row>
    <row r="36" spans="2:10">
      <c r="B36" s="1">
        <f ca="1"/>
        <v>46028</v>
      </c>
      <c r="C36" s="39">
        <f ca="1"/>
        <v>1374.189724769602</v>
      </c>
      <c r="D36" s="38">
        <f t="shared" ca="1" si="0"/>
        <v>3.7975412703692655</v>
      </c>
      <c r="E36" s="1">
        <f ca="1"/>
        <v>46028</v>
      </c>
      <c r="F36" s="40">
        <f ca="1"/>
        <v>3035.0578627700038</v>
      </c>
      <c r="G36" s="40">
        <f t="shared" ca="1" si="1"/>
        <v>8.7757947841164423</v>
      </c>
      <c r="H36" s="1">
        <f ca="1"/>
        <v>46028</v>
      </c>
      <c r="I36" s="40">
        <f ca="1"/>
        <v>7546.8835280642288</v>
      </c>
      <c r="J36" s="40">
        <f t="shared" ca="1" si="2"/>
        <v>2.4125614262129602</v>
      </c>
    </row>
    <row r="37" spans="2:10">
      <c r="B37" s="1">
        <f ca="1"/>
        <v>46029</v>
      </c>
      <c r="C37" s="39">
        <f ca="1"/>
        <v>1375.5372250395467</v>
      </c>
      <c r="D37" s="38">
        <f t="shared" ca="1" si="0"/>
        <v>1.3475002699447032</v>
      </c>
      <c r="E37" s="1">
        <f ca="1"/>
        <v>46029</v>
      </c>
      <c r="F37" s="40">
        <f ca="1"/>
        <v>3041.4810131965369</v>
      </c>
      <c r="G37" s="40">
        <f t="shared" ca="1" si="1"/>
        <v>6.4231504265330841</v>
      </c>
      <c r="H37" s="1">
        <f ca="1"/>
        <v>46029</v>
      </c>
      <c r="I37" s="40">
        <f ca="1"/>
        <v>7548.3259029065921</v>
      </c>
      <c r="J37" s="40">
        <f t="shared" ca="1" si="2"/>
        <v>1.4423748423632787</v>
      </c>
    </row>
    <row r="38" spans="2:10">
      <c r="B38" s="1">
        <f ca="1"/>
        <v>46030</v>
      </c>
      <c r="C38" s="39">
        <f ca="1"/>
        <v>1379.9783148621473</v>
      </c>
      <c r="D38" s="38">
        <f t="shared" ca="1" si="0"/>
        <v>4.4410898226005884</v>
      </c>
      <c r="E38" s="1">
        <f ca="1"/>
        <v>46030</v>
      </c>
      <c r="F38" s="40">
        <f ca="1"/>
        <v>3049.3510861746672</v>
      </c>
      <c r="G38" s="40">
        <f t="shared" ca="1" si="1"/>
        <v>7.870072978130338</v>
      </c>
      <c r="H38" s="1">
        <f ca="1"/>
        <v>46030</v>
      </c>
      <c r="I38" s="40">
        <f ca="1"/>
        <v>7552.8273189868114</v>
      </c>
      <c r="J38" s="40">
        <f t="shared" ca="1" si="2"/>
        <v>4.5014160802193146</v>
      </c>
    </row>
    <row r="39" spans="2:10">
      <c r="B39" s="1">
        <f ca="1"/>
        <v>46031</v>
      </c>
      <c r="C39" s="39">
        <f ca="1"/>
        <v>1384.0985444716077</v>
      </c>
      <c r="D39" s="38">
        <f t="shared" ca="1" si="0"/>
        <v>4.1202296094604662</v>
      </c>
      <c r="E39" s="1">
        <f ca="1"/>
        <v>46031</v>
      </c>
      <c r="F39" s="40">
        <f ca="1"/>
        <v>3058.0409704737363</v>
      </c>
      <c r="G39" s="40">
        <f t="shared" ca="1" si="1"/>
        <v>8.6898842990690355</v>
      </c>
      <c r="H39" s="1">
        <f ca="1"/>
        <v>46031</v>
      </c>
      <c r="I39" s="40">
        <f ca="1"/>
        <v>7555.1923889673017</v>
      </c>
      <c r="J39" s="40">
        <f t="shared" ca="1" si="2"/>
        <v>2.3650699804902615</v>
      </c>
    </row>
    <row r="40" spans="2:10">
      <c r="B40" s="1">
        <f ca="1"/>
        <v>46034</v>
      </c>
      <c r="C40" s="39">
        <f ca="1"/>
        <v>1388.5744771656264</v>
      </c>
      <c r="D40" s="38">
        <f t="shared" ca="1" si="0"/>
        <v>4.4759326940186384</v>
      </c>
      <c r="E40" s="1">
        <f ca="1"/>
        <v>46034</v>
      </c>
      <c r="F40" s="40">
        <f ca="1"/>
        <v>3064.2018472254886</v>
      </c>
      <c r="G40" s="40">
        <f t="shared" ca="1" si="1"/>
        <v>6.160876751752312</v>
      </c>
      <c r="H40" s="1">
        <f ca="1"/>
        <v>46034</v>
      </c>
      <c r="I40" s="40">
        <f ca="1"/>
        <v>7559.7067357285368</v>
      </c>
      <c r="J40" s="40">
        <f t="shared" ca="1" si="2"/>
        <v>4.5143467612351742</v>
      </c>
    </row>
    <row r="41" spans="2:10">
      <c r="B41" s="1">
        <f ca="1"/>
        <v>46035</v>
      </c>
      <c r="C41" s="39">
        <f ca="1"/>
        <v>1392.8153560065289</v>
      </c>
      <c r="D41" s="38">
        <f t="shared" ca="1" si="0"/>
        <v>4.2408788409024964</v>
      </c>
      <c r="E41" s="1">
        <f ca="1"/>
        <v>46035</v>
      </c>
      <c r="F41" s="40">
        <f ca="1"/>
        <v>3068.480220431099</v>
      </c>
      <c r="G41" s="40">
        <f t="shared" ca="1" si="1"/>
        <v>4.2783732056104782</v>
      </c>
      <c r="H41" s="1">
        <f ca="1"/>
        <v>46035</v>
      </c>
      <c r="I41" s="40">
        <f ca="1"/>
        <v>7562.6229169180106</v>
      </c>
      <c r="J41" s="40">
        <f t="shared" ca="1" si="2"/>
        <v>2.9161811894737184</v>
      </c>
    </row>
    <row r="42" spans="2:10">
      <c r="B42" s="1">
        <f ca="1"/>
        <v>46036</v>
      </c>
      <c r="C42" s="39">
        <f ca="1"/>
        <v>1394.3691211980881</v>
      </c>
      <c r="D42" s="38">
        <f t="shared" ca="1" si="0"/>
        <v>1.5537651915592505</v>
      </c>
      <c r="E42" s="1">
        <f ca="1"/>
        <v>46036</v>
      </c>
      <c r="F42" s="40">
        <f ca="1"/>
        <v>3072.0710334062269</v>
      </c>
      <c r="G42" s="40">
        <f t="shared" ca="1" si="1"/>
        <v>3.5908129751278466</v>
      </c>
      <c r="H42" s="1">
        <f ca="1"/>
        <v>46036</v>
      </c>
      <c r="I42" s="40">
        <f ca="1"/>
        <v>7567.7884823394143</v>
      </c>
      <c r="J42" s="40">
        <f t="shared" ca="1" si="2"/>
        <v>5.1655654214036986</v>
      </c>
    </row>
    <row r="43" spans="2:10">
      <c r="B43" s="1">
        <f ca="1"/>
        <v>46037</v>
      </c>
      <c r="C43" s="39">
        <f ca="1"/>
        <v>1397.5215380718437</v>
      </c>
      <c r="D43" s="38">
        <f t="shared" ca="1" si="0"/>
        <v>3.1524168737555556</v>
      </c>
      <c r="E43" s="1">
        <f ca="1"/>
        <v>46037</v>
      </c>
      <c r="F43" s="40">
        <f ca="1"/>
        <v>3079.2212145758231</v>
      </c>
      <c r="G43" s="40">
        <f t="shared" ca="1" si="1"/>
        <v>7.1501811695961806</v>
      </c>
      <c r="H43" s="1">
        <f ca="1"/>
        <v>46037</v>
      </c>
      <c r="I43" s="40">
        <f ca="1"/>
        <v>7571.3177564648577</v>
      </c>
      <c r="J43" s="40">
        <f t="shared" ca="1" si="2"/>
        <v>3.5292741254434077</v>
      </c>
    </row>
    <row r="44" spans="2:10">
      <c r="B44" s="1">
        <f ca="1"/>
        <v>46038</v>
      </c>
      <c r="C44" s="39">
        <f ca="1"/>
        <v>1402.7262792019378</v>
      </c>
      <c r="D44" s="38">
        <f t="shared" ca="1" si="0"/>
        <v>5.2047411300941349</v>
      </c>
      <c r="E44" s="1">
        <f ca="1"/>
        <v>46038</v>
      </c>
      <c r="F44" s="40">
        <f ca="1"/>
        <v>3084.5785325030033</v>
      </c>
      <c r="G44" s="40">
        <f t="shared" ca="1" si="1"/>
        <v>5.3573179271802474</v>
      </c>
      <c r="H44" s="1">
        <f ca="1"/>
        <v>46038</v>
      </c>
      <c r="I44" s="40">
        <f ca="1"/>
        <v>7575.2557158097816</v>
      </c>
      <c r="J44" s="40">
        <f t="shared" ca="1" si="2"/>
        <v>3.937959344923911</v>
      </c>
    </row>
    <row r="45" spans="2:10">
      <c r="B45" s="1">
        <f ca="1"/>
        <v>46041</v>
      </c>
      <c r="C45" s="39">
        <f ca="1"/>
        <v>1406.3888392905856</v>
      </c>
      <c r="D45" s="38">
        <f t="shared" ca="1" si="0"/>
        <v>3.6625600886477514</v>
      </c>
      <c r="E45" s="1">
        <f ca="1"/>
        <v>46041</v>
      </c>
      <c r="F45" s="40">
        <f ca="1"/>
        <v>3089.5770379382429</v>
      </c>
      <c r="G45" s="40">
        <f t="shared" ca="1" si="1"/>
        <v>4.9985054352396219</v>
      </c>
      <c r="H45" s="1">
        <f ca="1"/>
        <v>46041</v>
      </c>
      <c r="I45" s="40">
        <f ca="1"/>
        <v>7577.9680521033479</v>
      </c>
      <c r="J45" s="40">
        <f t="shared" ca="1" si="2"/>
        <v>2.7123362935662954</v>
      </c>
    </row>
    <row r="46" spans="2:10">
      <c r="B46" s="1">
        <f ca="1"/>
        <v>46042</v>
      </c>
      <c r="C46" s="39">
        <f ca="1"/>
        <v>1411.4112072836479</v>
      </c>
      <c r="D46" s="38">
        <f t="shared" ca="1" si="0"/>
        <v>5.0223679930622893</v>
      </c>
      <c r="E46" s="1">
        <f ca="1"/>
        <v>46042</v>
      </c>
      <c r="F46" s="40">
        <f ca="1"/>
        <v>3092.2307003815395</v>
      </c>
      <c r="G46" s="40">
        <f t="shared" ca="1" si="1"/>
        <v>2.6536624432965255</v>
      </c>
      <c r="H46" s="1">
        <f ca="1"/>
        <v>46042</v>
      </c>
      <c r="I46" s="40">
        <f ca="1"/>
        <v>7581.1455408574802</v>
      </c>
      <c r="J46" s="40">
        <f t="shared" ca="1" si="2"/>
        <v>3.1774887541323551</v>
      </c>
    </row>
    <row r="47" spans="2:10">
      <c r="B47" s="1">
        <f ca="1"/>
        <v>46043</v>
      </c>
      <c r="C47" s="39">
        <f ca="1"/>
        <v>1416.4752751603162</v>
      </c>
      <c r="D47" s="38">
        <f t="shared" ca="1" si="0"/>
        <v>5.0640678766683322</v>
      </c>
      <c r="E47" s="1">
        <f ca="1"/>
        <v>46043</v>
      </c>
      <c r="F47" s="40">
        <f ca="1"/>
        <v>3098.7234790127391</v>
      </c>
      <c r="G47" s="40">
        <f t="shared" ca="1" si="1"/>
        <v>6.4927786311995987</v>
      </c>
      <c r="H47" s="1">
        <f ca="1"/>
        <v>46043</v>
      </c>
      <c r="I47" s="40">
        <f ca="1"/>
        <v>7585.0868326365962</v>
      </c>
      <c r="J47" s="40">
        <f t="shared" ca="1" si="2"/>
        <v>3.9412917791159998</v>
      </c>
    </row>
    <row r="48" spans="2:10">
      <c r="B48" s="1">
        <f ca="1"/>
        <v>46044</v>
      </c>
      <c r="C48" s="39">
        <f ca="1"/>
        <v>1419.2579697658248</v>
      </c>
      <c r="D48" s="38">
        <f t="shared" ca="1" si="0"/>
        <v>2.7826946055085955</v>
      </c>
      <c r="E48" s="1">
        <f ca="1"/>
        <v>46044</v>
      </c>
      <c r="F48" s="40">
        <f ca="1"/>
        <v>3106.0800221682607</v>
      </c>
      <c r="G48" s="40">
        <f t="shared" ca="1" si="1"/>
        <v>7.3565431555216492</v>
      </c>
      <c r="H48" s="1">
        <f ca="1"/>
        <v>46044</v>
      </c>
      <c r="I48" s="40">
        <f ca="1"/>
        <v>7589.2707608479623</v>
      </c>
      <c r="J48" s="40">
        <f t="shared" ca="1" si="2"/>
        <v>4.1839282113660374</v>
      </c>
    </row>
    <row r="49" spans="2:10">
      <c r="B49" s="1">
        <f ca="1"/>
        <v>46045</v>
      </c>
      <c r="C49" s="39">
        <f ca="1"/>
        <v>1423.1591254269181</v>
      </c>
      <c r="D49" s="38">
        <f t="shared" ca="1" si="0"/>
        <v>3.9011556610932985</v>
      </c>
      <c r="E49" s="1">
        <f ca="1"/>
        <v>46045</v>
      </c>
      <c r="F49" s="40">
        <f ca="1"/>
        <v>3108.7831303264488</v>
      </c>
      <c r="G49" s="40">
        <f t="shared" ca="1" si="1"/>
        <v>2.7031081581881153</v>
      </c>
      <c r="H49" s="1">
        <f ca="1"/>
        <v>46045</v>
      </c>
      <c r="I49" s="40">
        <f ca="1"/>
        <v>7594.1246497825023</v>
      </c>
      <c r="J49" s="40">
        <f t="shared" ca="1" si="2"/>
        <v>4.8538889345400094</v>
      </c>
    </row>
    <row r="50" spans="2:10">
      <c r="B50" s="1">
        <f ca="1"/>
        <v>46048</v>
      </c>
      <c r="C50" s="39">
        <f ca="1"/>
        <v>1425.0304602284996</v>
      </c>
      <c r="D50" s="38">
        <f t="shared" ca="1" si="0"/>
        <v>1.8713348015814972</v>
      </c>
      <c r="E50" s="1">
        <f ca="1"/>
        <v>46048</v>
      </c>
      <c r="F50" s="40">
        <f ca="1"/>
        <v>3117.6129693498765</v>
      </c>
      <c r="G50" s="40">
        <f t="shared" ca="1" si="1"/>
        <v>8.8298390234276667</v>
      </c>
      <c r="H50" s="1">
        <f ca="1"/>
        <v>46048</v>
      </c>
      <c r="I50" s="40">
        <f ca="1"/>
        <v>7597.3824724842943</v>
      </c>
      <c r="J50" s="40">
        <f t="shared" ca="1" si="2"/>
        <v>3.2578227017920653</v>
      </c>
    </row>
    <row r="51" spans="2:10">
      <c r="B51" s="1">
        <f ca="1"/>
        <v>46049</v>
      </c>
      <c r="C51" s="39">
        <f ca="1"/>
        <v>1426.3831512060349</v>
      </c>
      <c r="D51" s="38">
        <f t="shared" ca="1" si="0"/>
        <v>1.3526909775353033</v>
      </c>
      <c r="E51" s="1">
        <f ca="1"/>
        <v>46049</v>
      </c>
      <c r="F51" s="40">
        <f ca="1"/>
        <v>3121.0641313331553</v>
      </c>
      <c r="G51" s="40">
        <f t="shared" ca="1" si="1"/>
        <v>3.4511619832787801</v>
      </c>
      <c r="H51" s="1">
        <f ca="1"/>
        <v>46049</v>
      </c>
      <c r="I51" s="40">
        <f ca="1"/>
        <v>7600.5062750142488</v>
      </c>
      <c r="J51" s="40">
        <f t="shared" ca="1" si="2"/>
        <v>3.1238025299544461</v>
      </c>
    </row>
    <row r="52" spans="2:10">
      <c r="B52" s="1">
        <f ca="1"/>
        <v>46050</v>
      </c>
      <c r="C52" s="39">
        <f ca="1"/>
        <v>1431.2049992075229</v>
      </c>
      <c r="D52" s="38">
        <f t="shared" ca="1" si="0"/>
        <v>4.8218480014879788</v>
      </c>
      <c r="E52" s="1">
        <f ca="1"/>
        <v>46050</v>
      </c>
      <c r="F52" s="40">
        <f ca="1"/>
        <v>3126.7647249263141</v>
      </c>
      <c r="G52" s="40">
        <f t="shared" ca="1" si="1"/>
        <v>5.7005935931588283</v>
      </c>
      <c r="H52" s="1">
        <f ca="1"/>
        <v>46050</v>
      </c>
      <c r="I52" s="40">
        <f ca="1"/>
        <v>7605.3978678170533</v>
      </c>
      <c r="J52" s="40">
        <f t="shared" ca="1" si="2"/>
        <v>4.8915928028045528</v>
      </c>
    </row>
    <row r="53" spans="2:10">
      <c r="B53" s="1">
        <f ca="1"/>
        <v>46051</v>
      </c>
      <c r="C53" s="39">
        <f ca="1"/>
        <v>1432.4800126898256</v>
      </c>
      <c r="D53" s="38">
        <f t="shared" ca="1" si="0"/>
        <v>1.2750134823027111</v>
      </c>
      <c r="E53" s="1">
        <f ca="1"/>
        <v>46051</v>
      </c>
      <c r="F53" s="40">
        <f ca="1"/>
        <v>3131.79267472834</v>
      </c>
      <c r="G53" s="40">
        <f t="shared" ca="1" si="1"/>
        <v>5.027949802025887</v>
      </c>
      <c r="H53" s="1">
        <f ca="1"/>
        <v>46051</v>
      </c>
      <c r="I53" s="40">
        <f ca="1"/>
        <v>7607.616692950397</v>
      </c>
      <c r="J53" s="40">
        <f t="shared" ca="1" si="2"/>
        <v>2.218825133343671</v>
      </c>
    </row>
    <row r="54" spans="2:10">
      <c r="B54" s="1">
        <f ca="1"/>
        <v>46052</v>
      </c>
      <c r="C54" s="39">
        <f ca="1"/>
        <v>1437.6</v>
      </c>
      <c r="D54" s="38">
        <f t="shared" ca="1" si="0"/>
        <v>5.1199873101743378</v>
      </c>
      <c r="E54" s="1">
        <f ca="1"/>
        <v>46052</v>
      </c>
      <c r="F54" s="40">
        <f ca="1"/>
        <v>3136.41</v>
      </c>
      <c r="G54" s="40">
        <f t="shared" ca="1" si="1"/>
        <v>4.6173252716598654</v>
      </c>
      <c r="H54" s="1">
        <f ca="1"/>
        <v>46052</v>
      </c>
      <c r="I54" s="40">
        <f ca="1"/>
        <v>7611.26</v>
      </c>
      <c r="J54" s="40">
        <f t="shared" ca="1" si="2"/>
        <v>3.6433070496032087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3395-E5C3-448D-BD44-6B0DF7A5EBD8}">
  <dimension ref="A1:V49"/>
  <sheetViews>
    <sheetView topLeftCell="G13" zoomScale="85" zoomScaleNormal="85" workbookViewId="0">
      <selection activeCell="L42" sqref="L42"/>
    </sheetView>
  </sheetViews>
  <sheetFormatPr defaultRowHeight="16.5"/>
  <cols>
    <col min="2" max="2" width="9.5" bestFit="1" customWidth="1"/>
    <col min="3" max="3" width="9.875" bestFit="1" customWidth="1"/>
    <col min="8" max="8" width="9" customWidth="1"/>
    <col min="10" max="10" width="9" customWidth="1"/>
    <col min="14" max="15" width="9.875" bestFit="1" customWidth="1"/>
    <col min="16" max="16" width="13.125" bestFit="1" customWidth="1"/>
    <col min="17" max="17" width="9.875" bestFit="1" customWidth="1"/>
    <col min="18" max="18" width="10.5" bestFit="1" customWidth="1"/>
    <col min="19" max="19" width="9.875" bestFit="1" customWidth="1"/>
    <col min="20" max="20" width="9.875" customWidth="1"/>
    <col min="21" max="21" width="9.875" bestFit="1" customWidth="1"/>
  </cols>
  <sheetData>
    <row r="1" spans="1:22">
      <c r="C1" s="10"/>
      <c r="H1" s="1"/>
      <c r="I1" s="1"/>
      <c r="J1" s="1" t="s">
        <v>127</v>
      </c>
      <c r="K1" s="1"/>
      <c r="L1" s="1"/>
    </row>
    <row r="2" spans="1:22">
      <c r="A2" s="23" t="s">
        <v>103</v>
      </c>
      <c r="B2" s="23" t="s">
        <v>102</v>
      </c>
      <c r="C2" s="23" t="s">
        <v>126</v>
      </c>
      <c r="H2" s="1" t="s">
        <v>109</v>
      </c>
      <c r="I2" s="1" t="s">
        <v>108</v>
      </c>
      <c r="J2" s="1" t="s">
        <v>107</v>
      </c>
      <c r="K2" s="1" t="s">
        <v>106</v>
      </c>
      <c r="L2" s="1" t="s">
        <v>105</v>
      </c>
      <c r="M2" s="1" t="s">
        <v>125</v>
      </c>
      <c r="N2" s="1" t="s">
        <v>103</v>
      </c>
      <c r="O2" s="1" t="s">
        <v>102</v>
      </c>
      <c r="R2" s="1" t="s">
        <v>109</v>
      </c>
      <c r="S2" s="1" t="s">
        <v>105</v>
      </c>
    </row>
    <row r="3" spans="1:22">
      <c r="A3" s="160">
        <v>25</v>
      </c>
      <c r="B3" s="160">
        <v>4.7699999999999996</v>
      </c>
      <c r="C3" s="160">
        <v>1408.6</v>
      </c>
      <c r="D3" s="14"/>
      <c r="E3" s="163" t="s">
        <v>110</v>
      </c>
      <c r="F3" s="163" t="s">
        <v>113</v>
      </c>
      <c r="G3" s="166" t="s">
        <v>124</v>
      </c>
      <c r="H3" s="16">
        <v>1573.6</v>
      </c>
      <c r="I3" s="17">
        <f>H4</f>
        <v>1693</v>
      </c>
      <c r="J3" s="17">
        <f>I4</f>
        <v>1697.77</v>
      </c>
      <c r="K3" s="17">
        <f>J4</f>
        <v>1702.54</v>
      </c>
      <c r="L3" s="17">
        <f>K4</f>
        <v>1707.3</v>
      </c>
      <c r="M3" s="164">
        <f>L4-H3</f>
        <v>138.54999999999995</v>
      </c>
      <c r="N3" s="50">
        <v>5</v>
      </c>
      <c r="O3" s="50">
        <f>M3/N3</f>
        <v>27.70999999999999</v>
      </c>
      <c r="P3">
        <f>L3</f>
        <v>1707.3</v>
      </c>
      <c r="R3" s="50">
        <v>1384.66</v>
      </c>
      <c r="S3" s="158">
        <v>1408.6</v>
      </c>
      <c r="T3" s="50">
        <v>5</v>
      </c>
      <c r="U3" s="159">
        <f>(S3-R3)/T3</f>
        <v>4.7879999999999656</v>
      </c>
      <c r="V3">
        <f>S3-P5</f>
        <v>-303.54999999999995</v>
      </c>
    </row>
    <row r="4" spans="1:22">
      <c r="A4" s="161"/>
      <c r="B4" s="161"/>
      <c r="C4" s="161"/>
      <c r="D4" s="14" t="s">
        <v>111</v>
      </c>
      <c r="E4" s="163"/>
      <c r="F4" s="163"/>
      <c r="G4" s="163"/>
      <c r="H4" s="21">
        <v>1693</v>
      </c>
      <c r="I4" s="21">
        <f>I3+I5</f>
        <v>1697.77</v>
      </c>
      <c r="J4" s="21">
        <f>J3+J5</f>
        <v>1702.54</v>
      </c>
      <c r="K4" s="21">
        <f>K3+K5</f>
        <v>1707.3</v>
      </c>
      <c r="L4" s="16">
        <f>P5</f>
        <v>1712.1499999999999</v>
      </c>
      <c r="M4" s="164"/>
      <c r="N4" s="50"/>
      <c r="O4" s="50"/>
      <c r="P4" s="22">
        <v>4.8499999999999996</v>
      </c>
      <c r="R4" s="50"/>
      <c r="S4" s="158"/>
      <c r="T4" s="50"/>
      <c r="U4" s="159"/>
    </row>
    <row r="5" spans="1:22">
      <c r="A5" s="161"/>
      <c r="B5" s="161"/>
      <c r="C5" s="161"/>
      <c r="D5" s="14"/>
      <c r="E5" s="163"/>
      <c r="F5" s="163"/>
      <c r="G5" s="163"/>
      <c r="H5" s="21">
        <v>4.79</v>
      </c>
      <c r="I5" s="21">
        <v>4.7699999999999996</v>
      </c>
      <c r="J5" s="21">
        <v>4.7699999999999996</v>
      </c>
      <c r="K5" s="21">
        <v>4.76</v>
      </c>
      <c r="L5" s="21">
        <f>L4-L3</f>
        <v>4.8499999999999091</v>
      </c>
      <c r="M5" s="164"/>
      <c r="N5" s="50"/>
      <c r="O5" s="50"/>
      <c r="P5" s="12">
        <f>P3+P4</f>
        <v>1712.1499999999999</v>
      </c>
      <c r="Q5">
        <f>S3-P5</f>
        <v>-303.54999999999995</v>
      </c>
      <c r="R5" s="50"/>
      <c r="S5" s="158"/>
      <c r="T5" s="50"/>
      <c r="U5" s="159"/>
    </row>
    <row r="6" spans="1:22" ht="6" customHeight="1">
      <c r="A6" s="162"/>
      <c r="B6" s="162"/>
      <c r="C6" s="162"/>
      <c r="E6" s="163"/>
      <c r="F6" s="167"/>
      <c r="G6" s="168"/>
      <c r="H6" s="168"/>
      <c r="I6" s="168"/>
      <c r="J6" s="168"/>
      <c r="K6" s="168"/>
      <c r="L6" s="169"/>
      <c r="M6" s="164"/>
      <c r="N6" s="50"/>
      <c r="O6" s="50"/>
      <c r="R6" s="1"/>
      <c r="S6" s="18"/>
      <c r="U6" s="18"/>
    </row>
    <row r="7" spans="1:22">
      <c r="A7" s="160">
        <v>25</v>
      </c>
      <c r="B7" s="160" t="s">
        <v>123</v>
      </c>
      <c r="C7" s="160">
        <v>21590.2</v>
      </c>
      <c r="E7" s="163"/>
      <c r="F7" s="163" t="s">
        <v>122</v>
      </c>
      <c r="G7" s="166" t="s">
        <v>121</v>
      </c>
      <c r="H7" s="16">
        <v>21816.3</v>
      </c>
      <c r="I7" s="17">
        <f>H8</f>
        <v>22044.799999999999</v>
      </c>
      <c r="J7" s="17">
        <f>I8</f>
        <v>22052.399999999998</v>
      </c>
      <c r="K7" s="17">
        <f>J8</f>
        <v>22059.899999999998</v>
      </c>
      <c r="L7" s="17">
        <f>K8</f>
        <v>22067.599999999999</v>
      </c>
      <c r="M7" s="164">
        <f>L8-H7</f>
        <v>258.79999999999927</v>
      </c>
      <c r="N7" s="50">
        <v>5</v>
      </c>
      <c r="O7" s="50">
        <f>M7/N7</f>
        <v>51.759999999999856</v>
      </c>
      <c r="P7">
        <f>L7</f>
        <v>22067.599999999999</v>
      </c>
      <c r="R7" s="50">
        <v>21552.400000000001</v>
      </c>
      <c r="S7" s="158">
        <v>21590.2</v>
      </c>
      <c r="T7" s="50">
        <v>5</v>
      </c>
      <c r="U7" s="159">
        <f>(S7-R7)/T7</f>
        <v>7.5599999999998548</v>
      </c>
      <c r="V7">
        <f>S7-P9</f>
        <v>-484.89999999999782</v>
      </c>
    </row>
    <row r="8" spans="1:22">
      <c r="A8" s="161"/>
      <c r="B8" s="161"/>
      <c r="C8" s="161"/>
      <c r="E8" s="163"/>
      <c r="F8" s="163"/>
      <c r="G8" s="163"/>
      <c r="H8" s="21">
        <v>22044.799999999999</v>
      </c>
      <c r="I8" s="21">
        <f>I7+I9</f>
        <v>22052.399999999998</v>
      </c>
      <c r="J8" s="21">
        <f>J7+J9</f>
        <v>22059.899999999998</v>
      </c>
      <c r="K8" s="21">
        <f>K7+K9</f>
        <v>22067.599999999999</v>
      </c>
      <c r="L8" s="16">
        <f>P9</f>
        <v>22075.1</v>
      </c>
      <c r="M8" s="164"/>
      <c r="N8" s="50"/>
      <c r="O8" s="50"/>
      <c r="P8" s="22">
        <v>7.5</v>
      </c>
      <c r="R8" s="50"/>
      <c r="S8" s="158"/>
      <c r="T8" s="50"/>
      <c r="U8" s="159"/>
    </row>
    <row r="9" spans="1:22">
      <c r="A9" s="161"/>
      <c r="B9" s="161"/>
      <c r="C9" s="161"/>
      <c r="E9" s="163"/>
      <c r="F9" s="163"/>
      <c r="G9" s="163"/>
      <c r="H9" s="21">
        <v>7.5</v>
      </c>
      <c r="I9" s="21">
        <v>7.6</v>
      </c>
      <c r="J9" s="21">
        <v>7.5</v>
      </c>
      <c r="K9" s="21">
        <v>7.7</v>
      </c>
      <c r="L9" s="21">
        <f>L8-L7</f>
        <v>7.5</v>
      </c>
      <c r="M9" s="164"/>
      <c r="N9" s="50"/>
      <c r="O9" s="50"/>
      <c r="P9" s="12">
        <f>P7+P8</f>
        <v>22075.1</v>
      </c>
      <c r="Q9">
        <f>S7-P9</f>
        <v>-484.89999999999782</v>
      </c>
      <c r="R9" s="50"/>
      <c r="S9" s="158"/>
      <c r="T9" s="50"/>
      <c r="U9" s="159"/>
    </row>
    <row r="10" spans="1:22" ht="6" customHeight="1">
      <c r="A10" s="162"/>
      <c r="B10" s="162"/>
      <c r="C10" s="162"/>
      <c r="E10" s="163"/>
      <c r="F10" s="167"/>
      <c r="G10" s="168"/>
      <c r="H10" s="168"/>
      <c r="I10" s="168"/>
      <c r="J10" s="168"/>
      <c r="K10" s="168"/>
      <c r="L10" s="169"/>
      <c r="M10" s="164"/>
      <c r="N10" s="50"/>
      <c r="O10" s="50"/>
      <c r="R10" s="1"/>
      <c r="S10" s="18"/>
      <c r="U10" s="18"/>
    </row>
    <row r="11" spans="1:22">
      <c r="A11" s="165">
        <v>25</v>
      </c>
      <c r="B11" s="165">
        <v>240.3</v>
      </c>
      <c r="C11" s="165">
        <v>51582.1</v>
      </c>
      <c r="E11" s="163"/>
      <c r="F11" s="163" t="s">
        <v>113</v>
      </c>
      <c r="G11" s="166" t="s">
        <v>120</v>
      </c>
      <c r="H11" s="16">
        <v>57892.9</v>
      </c>
      <c r="I11" s="17">
        <f>H12</f>
        <v>62406</v>
      </c>
      <c r="J11" s="17">
        <f>I12</f>
        <v>62647.199999999997</v>
      </c>
      <c r="K11" s="17">
        <f>J12</f>
        <v>62887.7</v>
      </c>
      <c r="L11" s="17">
        <f>K12</f>
        <v>63131</v>
      </c>
      <c r="M11" s="164">
        <f>L12-H11</f>
        <v>5476.4000000000015</v>
      </c>
      <c r="N11" s="50">
        <v>5</v>
      </c>
      <c r="O11" s="50">
        <f>M11/N11</f>
        <v>1095.2800000000002</v>
      </c>
      <c r="P11">
        <f>L11</f>
        <v>63131</v>
      </c>
      <c r="R11" s="50">
        <v>50378</v>
      </c>
      <c r="S11" s="158">
        <v>51582.1</v>
      </c>
      <c r="T11" s="50">
        <v>5</v>
      </c>
      <c r="U11" s="159">
        <f>(S11-R11)/T11</f>
        <v>240.81999999999971</v>
      </c>
      <c r="V11">
        <f>S11-P13</f>
        <v>-11787.200000000004</v>
      </c>
    </row>
    <row r="12" spans="1:22">
      <c r="A12" s="165"/>
      <c r="B12" s="165"/>
      <c r="C12" s="165"/>
      <c r="E12" s="163"/>
      <c r="F12" s="163"/>
      <c r="G12" s="163"/>
      <c r="H12" s="21">
        <v>62406</v>
      </c>
      <c r="I12" s="21">
        <f>I11+I13</f>
        <v>62647.199999999997</v>
      </c>
      <c r="J12" s="21">
        <f>J11+J13</f>
        <v>62887.7</v>
      </c>
      <c r="K12" s="21">
        <f>K11+K13</f>
        <v>63131</v>
      </c>
      <c r="L12" s="16">
        <f>P13</f>
        <v>63369.3</v>
      </c>
      <c r="M12" s="164"/>
      <c r="N12" s="50"/>
      <c r="O12" s="50"/>
      <c r="P12" s="22">
        <v>238.3</v>
      </c>
      <c r="R12" s="50"/>
      <c r="S12" s="158"/>
      <c r="T12" s="50"/>
      <c r="U12" s="159"/>
    </row>
    <row r="13" spans="1:22">
      <c r="A13" s="165"/>
      <c r="B13" s="165"/>
      <c r="C13" s="165"/>
      <c r="E13" s="163"/>
      <c r="F13" s="163"/>
      <c r="G13" s="163"/>
      <c r="H13" s="21">
        <v>240.8</v>
      </c>
      <c r="I13" s="21">
        <v>241.2</v>
      </c>
      <c r="J13" s="21">
        <v>240.5</v>
      </c>
      <c r="K13" s="21">
        <v>243.3</v>
      </c>
      <c r="L13" s="21">
        <v>230.2</v>
      </c>
      <c r="M13" s="164"/>
      <c r="N13" s="50"/>
      <c r="O13" s="50"/>
      <c r="P13" s="12">
        <f>P11+P12</f>
        <v>63369.3</v>
      </c>
      <c r="Q13">
        <f>S11-P13</f>
        <v>-11787.200000000004</v>
      </c>
      <c r="R13" s="50"/>
      <c r="S13" s="158"/>
      <c r="T13" s="50"/>
      <c r="U13" s="159"/>
    </row>
    <row r="14" spans="1:22" ht="6" customHeight="1">
      <c r="A14" s="20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R14" s="1"/>
      <c r="S14" s="18"/>
      <c r="U14" s="18"/>
    </row>
    <row r="15" spans="1:22">
      <c r="A15" s="160">
        <v>25</v>
      </c>
      <c r="B15" s="160" t="s">
        <v>119</v>
      </c>
      <c r="C15" s="160">
        <v>1346.8</v>
      </c>
      <c r="E15" s="171" t="s">
        <v>118</v>
      </c>
      <c r="F15" s="171"/>
      <c r="G15" s="170" t="s">
        <v>117</v>
      </c>
      <c r="H15" s="16">
        <v>1437.6</v>
      </c>
      <c r="I15" s="17">
        <f>H16</f>
        <v>1440.8999999999999</v>
      </c>
      <c r="J15" s="17">
        <f>I16</f>
        <v>1444.3</v>
      </c>
      <c r="K15" s="17">
        <f>J16</f>
        <v>1447.6</v>
      </c>
      <c r="L15" s="17">
        <f>K16</f>
        <v>1451.1</v>
      </c>
      <c r="M15" s="164">
        <f>L16-H15</f>
        <v>17.099999999999909</v>
      </c>
      <c r="N15" s="50">
        <v>5</v>
      </c>
      <c r="O15" s="50">
        <f>M15/N15</f>
        <v>3.4199999999999817</v>
      </c>
      <c r="P15">
        <f>L15</f>
        <v>1451.1</v>
      </c>
      <c r="R15" s="50">
        <v>1267.4000000000001</v>
      </c>
      <c r="S15" s="158">
        <v>1346.8</v>
      </c>
      <c r="T15" s="50">
        <v>25</v>
      </c>
      <c r="U15" s="159">
        <f>(S15-R15)/T15</f>
        <v>3.1759999999999944</v>
      </c>
      <c r="V15">
        <f>S15-P17</f>
        <v>-107.89999999999986</v>
      </c>
    </row>
    <row r="16" spans="1:22">
      <c r="A16" s="161"/>
      <c r="B16" s="161"/>
      <c r="C16" s="161"/>
      <c r="E16" s="171"/>
      <c r="F16" s="171"/>
      <c r="G16" s="171"/>
      <c r="H16" s="13">
        <f>H15+H17</f>
        <v>1440.8999999999999</v>
      </c>
      <c r="I16" s="13">
        <f>I15+I17</f>
        <v>1444.3</v>
      </c>
      <c r="J16" s="13">
        <f>J15+J17</f>
        <v>1447.6</v>
      </c>
      <c r="K16" s="13">
        <f>K15+K17</f>
        <v>1451.1</v>
      </c>
      <c r="L16" s="16">
        <f>P17</f>
        <v>1454.6999999999998</v>
      </c>
      <c r="M16" s="164"/>
      <c r="N16" s="50"/>
      <c r="O16" s="50"/>
      <c r="P16" s="15">
        <v>3.6</v>
      </c>
      <c r="R16" s="50"/>
      <c r="S16" s="158"/>
      <c r="T16" s="50"/>
      <c r="U16" s="159"/>
    </row>
    <row r="17" spans="1:22">
      <c r="A17" s="161"/>
      <c r="B17" s="161"/>
      <c r="C17" s="161"/>
      <c r="E17" s="171"/>
      <c r="F17" s="171"/>
      <c r="G17" s="171"/>
      <c r="H17" s="13">
        <v>3.3</v>
      </c>
      <c r="I17" s="13">
        <v>3.4</v>
      </c>
      <c r="J17" s="13">
        <v>3.3</v>
      </c>
      <c r="K17" s="13">
        <v>3.5</v>
      </c>
      <c r="L17" s="13">
        <f>L16-L15</f>
        <v>3.5999999999999091</v>
      </c>
      <c r="M17" s="164"/>
      <c r="N17" s="50"/>
      <c r="O17" s="50"/>
      <c r="P17" s="12">
        <f>P15+P16</f>
        <v>1454.6999999999998</v>
      </c>
      <c r="Q17">
        <f>S15-P17</f>
        <v>-107.89999999999986</v>
      </c>
      <c r="R17" s="50"/>
      <c r="S17" s="158"/>
      <c r="T17" s="50"/>
      <c r="U17" s="159"/>
    </row>
    <row r="18" spans="1:22" ht="6" customHeight="1">
      <c r="A18" s="162"/>
      <c r="B18" s="162"/>
      <c r="C18" s="162"/>
      <c r="E18" s="171"/>
      <c r="F18" s="167"/>
      <c r="G18" s="168"/>
      <c r="H18" s="168"/>
      <c r="I18" s="168"/>
      <c r="J18" s="168"/>
      <c r="K18" s="168"/>
      <c r="L18" s="169"/>
      <c r="M18" s="164"/>
      <c r="N18" s="50"/>
      <c r="O18" s="50"/>
      <c r="R18" s="1"/>
      <c r="S18" s="18"/>
      <c r="U18" s="18"/>
    </row>
    <row r="19" spans="1:22">
      <c r="A19" s="160">
        <v>25</v>
      </c>
      <c r="B19" s="160">
        <v>6.98</v>
      </c>
      <c r="C19" s="160">
        <v>2976.77</v>
      </c>
      <c r="D19" s="14"/>
      <c r="E19" s="171"/>
      <c r="F19" s="171" t="s">
        <v>116</v>
      </c>
      <c r="G19" s="170" t="s">
        <v>115</v>
      </c>
      <c r="H19" s="16">
        <v>3136.41</v>
      </c>
      <c r="I19" s="17">
        <f>H20</f>
        <v>3143.3999999999996</v>
      </c>
      <c r="J19" s="17">
        <f>I20</f>
        <v>3150.43</v>
      </c>
      <c r="K19" s="17">
        <f>J20</f>
        <v>3157.4199999999996</v>
      </c>
      <c r="L19" s="17">
        <f>K20</f>
        <v>3164.4999999999995</v>
      </c>
      <c r="M19" s="164">
        <f>L20-H19</f>
        <v>35.159999999999854</v>
      </c>
      <c r="N19" s="50">
        <v>5</v>
      </c>
      <c r="O19" s="50">
        <f>M19/N19</f>
        <v>7.0319999999999707</v>
      </c>
      <c r="P19">
        <f>L19</f>
        <v>3164.4999999999995</v>
      </c>
      <c r="R19" s="50">
        <v>2802.13</v>
      </c>
      <c r="S19" s="158">
        <v>2976.77</v>
      </c>
      <c r="T19" s="50">
        <v>25</v>
      </c>
      <c r="U19" s="159">
        <f>(S19-R19)/T19</f>
        <v>6.9855999999999945</v>
      </c>
      <c r="V19">
        <f>S19-P21</f>
        <v>-194.79999999999973</v>
      </c>
    </row>
    <row r="20" spans="1:22">
      <c r="A20" s="161"/>
      <c r="B20" s="161"/>
      <c r="C20" s="161"/>
      <c r="D20" s="14" t="s">
        <v>111</v>
      </c>
      <c r="E20" s="171"/>
      <c r="F20" s="171"/>
      <c r="G20" s="171"/>
      <c r="H20" s="13">
        <f>H19+H21</f>
        <v>3143.3999999999996</v>
      </c>
      <c r="I20" s="13">
        <f>I19+I21</f>
        <v>3150.43</v>
      </c>
      <c r="J20" s="13">
        <f>J19+J21</f>
        <v>3157.4199999999996</v>
      </c>
      <c r="K20" s="13">
        <f>K19+K21</f>
        <v>3164.4999999999995</v>
      </c>
      <c r="L20" s="16">
        <f>P21</f>
        <v>3171.5699999999997</v>
      </c>
      <c r="M20" s="164"/>
      <c r="N20" s="50"/>
      <c r="O20" s="50"/>
      <c r="P20" s="15">
        <v>7.07</v>
      </c>
      <c r="R20" s="50"/>
      <c r="S20" s="158"/>
      <c r="T20" s="50"/>
      <c r="U20" s="159"/>
    </row>
    <row r="21" spans="1:22">
      <c r="A21" s="161"/>
      <c r="B21" s="161"/>
      <c r="C21" s="161"/>
      <c r="D21" s="14"/>
      <c r="E21" s="171"/>
      <c r="F21" s="171"/>
      <c r="G21" s="171"/>
      <c r="H21" s="13">
        <v>6.99</v>
      </c>
      <c r="I21" s="13">
        <v>7.03</v>
      </c>
      <c r="J21" s="13">
        <v>6.99</v>
      </c>
      <c r="K21" s="13">
        <v>7.08</v>
      </c>
      <c r="L21" s="13">
        <f>L20-L19</f>
        <v>7.0700000000001637</v>
      </c>
      <c r="M21" s="164"/>
      <c r="N21" s="50"/>
      <c r="O21" s="50"/>
      <c r="P21" s="12">
        <f>P19+P20</f>
        <v>3171.5699999999997</v>
      </c>
      <c r="Q21">
        <f>S19-P21</f>
        <v>-194.79999999999973</v>
      </c>
      <c r="R21" s="50"/>
      <c r="S21" s="158"/>
      <c r="T21" s="50"/>
      <c r="U21" s="159"/>
    </row>
    <row r="22" spans="1:22" ht="6" customHeight="1">
      <c r="A22" s="162"/>
      <c r="B22" s="162"/>
      <c r="C22" s="162"/>
      <c r="E22" s="171"/>
      <c r="F22" s="167"/>
      <c r="G22" s="168"/>
      <c r="H22" s="168"/>
      <c r="I22" s="168"/>
      <c r="J22" s="168"/>
      <c r="K22" s="168"/>
      <c r="L22" s="169"/>
      <c r="M22" s="164"/>
      <c r="N22" s="50"/>
      <c r="O22" s="50"/>
      <c r="S22" s="18"/>
      <c r="U22" s="18"/>
    </row>
    <row r="23" spans="1:22">
      <c r="A23" s="165">
        <v>25</v>
      </c>
      <c r="B23" s="160" t="s">
        <v>114</v>
      </c>
      <c r="C23" s="160">
        <v>7520.24</v>
      </c>
      <c r="D23" s="14"/>
      <c r="E23" s="171"/>
      <c r="F23" s="171" t="s">
        <v>113</v>
      </c>
      <c r="G23" s="170" t="s">
        <v>112</v>
      </c>
      <c r="H23" s="16">
        <v>7611.26</v>
      </c>
      <c r="I23" s="17">
        <f>H24</f>
        <v>7614.9800000000005</v>
      </c>
      <c r="J23" s="17">
        <f>I24</f>
        <v>7618.6900000000005</v>
      </c>
      <c r="K23" s="17">
        <f>J24</f>
        <v>7622.42</v>
      </c>
      <c r="L23" s="17">
        <f>K24</f>
        <v>7626.08</v>
      </c>
      <c r="M23" s="164">
        <f>L24-H23</f>
        <v>18.449999999999818</v>
      </c>
      <c r="N23" s="50">
        <v>5</v>
      </c>
      <c r="O23" s="50">
        <f>M23/N23</f>
        <v>3.6899999999999635</v>
      </c>
      <c r="P23">
        <f>L23</f>
        <v>7626.08</v>
      </c>
      <c r="R23" s="50">
        <v>7429.79</v>
      </c>
      <c r="S23" s="158">
        <v>7520.24</v>
      </c>
      <c r="T23" s="50">
        <v>25</v>
      </c>
      <c r="U23" s="159">
        <f>(S23-R23)/T23</f>
        <v>3.6179999999999928</v>
      </c>
      <c r="V23">
        <f>S23-P25</f>
        <v>-109.47000000000025</v>
      </c>
    </row>
    <row r="24" spans="1:22">
      <c r="A24" s="165"/>
      <c r="B24" s="161"/>
      <c r="C24" s="161"/>
      <c r="D24" s="14" t="s">
        <v>111</v>
      </c>
      <c r="E24" s="171"/>
      <c r="F24" s="171"/>
      <c r="G24" s="171"/>
      <c r="H24" s="13">
        <f>H23+H25</f>
        <v>7614.9800000000005</v>
      </c>
      <c r="I24" s="13">
        <f>I23+I25</f>
        <v>7618.6900000000005</v>
      </c>
      <c r="J24" s="13">
        <f>J23+J25</f>
        <v>7622.42</v>
      </c>
      <c r="K24" s="13">
        <f>K23+K25</f>
        <v>7626.08</v>
      </c>
      <c r="L24" s="16">
        <f>P25</f>
        <v>7629.71</v>
      </c>
      <c r="M24" s="164"/>
      <c r="N24" s="50"/>
      <c r="O24" s="50"/>
      <c r="P24" s="15">
        <v>3.63</v>
      </c>
      <c r="R24" s="50"/>
      <c r="S24" s="158"/>
      <c r="T24" s="50"/>
      <c r="U24" s="159"/>
    </row>
    <row r="25" spans="1:22">
      <c r="A25" s="165"/>
      <c r="B25" s="162"/>
      <c r="C25" s="162"/>
      <c r="D25" s="14"/>
      <c r="E25" s="171"/>
      <c r="F25" s="171"/>
      <c r="G25" s="171"/>
      <c r="H25" s="13">
        <v>3.72</v>
      </c>
      <c r="I25" s="13">
        <v>3.71</v>
      </c>
      <c r="J25" s="13">
        <v>3.73</v>
      </c>
      <c r="K25" s="13">
        <v>3.66</v>
      </c>
      <c r="L25" s="13">
        <f>L24-L23</f>
        <v>3.6300000000001091</v>
      </c>
      <c r="M25" s="164"/>
      <c r="N25" s="50"/>
      <c r="O25" s="50"/>
      <c r="P25" s="12">
        <f>P23+P24</f>
        <v>7629.71</v>
      </c>
      <c r="Q25">
        <f>S23-P25</f>
        <v>-109.47000000000025</v>
      </c>
      <c r="R25" s="50"/>
      <c r="S25" s="158"/>
      <c r="T25" s="50"/>
      <c r="U25" s="159"/>
    </row>
    <row r="27" spans="1:22">
      <c r="E27" s="52" t="s">
        <v>110</v>
      </c>
      <c r="F27" s="52"/>
      <c r="G27" s="8"/>
      <c r="H27" s="8" t="s">
        <v>109</v>
      </c>
      <c r="I27" s="8" t="s">
        <v>108</v>
      </c>
      <c r="J27" s="8" t="s">
        <v>107</v>
      </c>
      <c r="K27" s="8" t="s">
        <v>106</v>
      </c>
      <c r="L27" s="8" t="s">
        <v>105</v>
      </c>
      <c r="N27" s="8" t="s">
        <v>104</v>
      </c>
      <c r="O27" s="11" t="s">
        <v>103</v>
      </c>
      <c r="P27" s="11" t="s">
        <v>102</v>
      </c>
      <c r="S27" s="10"/>
      <c r="T27" s="10"/>
    </row>
    <row r="28" spans="1:22">
      <c r="B28" s="172"/>
      <c r="C28" s="172"/>
      <c r="E28" s="52"/>
      <c r="F28" s="52"/>
      <c r="G28" s="52" t="s">
        <v>101</v>
      </c>
      <c r="H28" s="8">
        <v>1048</v>
      </c>
      <c r="I28" s="8">
        <f ca="1">H29</f>
        <v>1055</v>
      </c>
      <c r="J28" s="8">
        <f ca="1">I29</f>
        <v>1060</v>
      </c>
      <c r="K28" s="8">
        <f ca="1">J29</f>
        <v>1063</v>
      </c>
      <c r="L28" s="8">
        <f ca="1">K29</f>
        <v>1069</v>
      </c>
      <c r="N28" s="16">
        <v>21816.3</v>
      </c>
      <c r="O28" s="173">
        <f>S30</f>
        <v>39</v>
      </c>
      <c r="P28" s="173">
        <f>N30/O28</f>
        <v>5.8589743589743586</v>
      </c>
      <c r="Q28">
        <v>655</v>
      </c>
      <c r="S28" s="10">
        <v>46052</v>
      </c>
      <c r="T28" s="10"/>
    </row>
    <row r="29" spans="1:22">
      <c r="B29" s="172"/>
      <c r="C29" s="172"/>
      <c r="E29" s="52"/>
      <c r="F29" s="52"/>
      <c r="G29" s="52"/>
      <c r="H29" s="8">
        <f ca="1">H28+H30</f>
        <v>1055</v>
      </c>
      <c r="I29" s="8">
        <f ca="1">I28+I30</f>
        <v>1060</v>
      </c>
      <c r="J29" s="8">
        <f ca="1">J28+J30</f>
        <v>1063</v>
      </c>
      <c r="K29" s="8">
        <f ca="1">K28+K30</f>
        <v>1069</v>
      </c>
      <c r="L29" s="8">
        <f ca="1">L28+L30</f>
        <v>1073</v>
      </c>
      <c r="N29" s="21">
        <v>22044.799999999999</v>
      </c>
      <c r="O29" s="174"/>
      <c r="P29" s="174"/>
      <c r="S29" s="10">
        <v>46091</v>
      </c>
    </row>
    <row r="30" spans="1:22">
      <c r="B30" s="172"/>
      <c r="C30" s="172"/>
      <c r="E30" s="52"/>
      <c r="F30" s="52"/>
      <c r="G30" s="52"/>
      <c r="H30" s="9" cm="1">
        <f t="array" aca="1" ref="H30" ca="1">INT($P$28) + INDEX(
 {0,0,0,0,0;1,1,-1,-1,0;2,2,-2,-2,0;2,1,-1,-2,0;2,0,-2,1,-1;1,0,0,1,-2;2,-1,-1,0,0;1,1,1,-1,-2;2,1,1,-2,-2;2,2,-1,-1,-2},
 $G$31,
 COLUMN(A1)
)</f>
        <v>7</v>
      </c>
      <c r="I30" s="9" cm="1">
        <f t="array" aca="1" ref="I30" ca="1">INT($P$28) + INDEX(
 {0,0,0,0,0;1,1,-1,-1,0;2,2,-2,-2,0;2,1,-1,-2,0;2,0,-2,1,-1;1,0,0,1,-2;2,-1,-1,0,0;1,1,1,-1,-2;2,1,1,-2,-2;2,2,-1,-1,-2},
 $G$31,
 COLUMN(B1)
)</f>
        <v>5</v>
      </c>
      <c r="J30" s="9" cm="1">
        <f t="array" aca="1" ref="J30" ca="1">INT($P$28) + INDEX(
 {0,0,0,0,0;1,1,-1,-1,0;2,2,-2,-2,0;2,1,-1,-2,0;2,0,-2,1,-1;1,0,0,1,-2;2,-1,-1,0,0;1,1,1,-1,-2;2,1,1,-2,-2;2,2,-1,-1,-2},
 $G$31,
 COLUMN(C1)
)</f>
        <v>3</v>
      </c>
      <c r="K30" s="9" cm="1">
        <f t="array" aca="1" ref="K30" ca="1">INT($P$28) + INDEX(
 {0,0,0,0,0;1,1,-1,-1,0;2,2,-2,-2,0;2,1,-1,-2,0;2,0,-2,1,-1;1,0,0,1,-2;2,-1,-1,0,0;1,1,1,-1,-2;2,1,1,-2,-2;2,2,-1,-1,-2},
 $G$31,
 COLUMN(D1)
)</f>
        <v>6</v>
      </c>
      <c r="L30" s="9" cm="1">
        <f t="array" aca="1" ref="L30" ca="1">INT($P$28) + INDEX(
 {0,0,0,0,0;1,1,-1,-1,0;2,2,-2,-2,0;2,1,-1,-2,0;2,0,-2,1,-1;1,0,0,1,-2;2,-1,-1,0,0;1,1,1,-1,-2;2,1,1,-2,-2;2,2,-1,-1,-2},
 $G$31,
 COLUMN(E1)
)</f>
        <v>4</v>
      </c>
      <c r="N30" s="8">
        <f>N29-N28</f>
        <v>228.5</v>
      </c>
      <c r="O30" s="175"/>
      <c r="P30" s="175"/>
      <c r="S30">
        <f>S29-S28</f>
        <v>39</v>
      </c>
    </row>
    <row r="31" spans="1:22">
      <c r="G31">
        <f ca="1">RANDBETWEEN(1,10)</f>
        <v>5</v>
      </c>
      <c r="H31">
        <v>298</v>
      </c>
      <c r="I31">
        <v>307</v>
      </c>
      <c r="J31">
        <v>316</v>
      </c>
      <c r="K31">
        <v>325</v>
      </c>
      <c r="L31">
        <v>334</v>
      </c>
    </row>
    <row r="32" spans="1:22">
      <c r="F32" t="s">
        <v>100</v>
      </c>
      <c r="N32">
        <f>P28</f>
        <v>5.8589743589743586</v>
      </c>
    </row>
    <row r="33" spans="12:16">
      <c r="O33" s="7"/>
    </row>
    <row r="42" spans="12:16">
      <c r="L42" s="8">
        <v>1463.3</v>
      </c>
      <c r="M42" s="173">
        <v>1.8</v>
      </c>
      <c r="O42" s="16">
        <v>57892.9</v>
      </c>
      <c r="P42" s="52">
        <v>115.7</v>
      </c>
    </row>
    <row r="43" spans="12:16">
      <c r="L43" s="8">
        <v>1508.5</v>
      </c>
      <c r="M43" s="175"/>
      <c r="O43" s="21">
        <v>62406</v>
      </c>
      <c r="P43" s="52"/>
    </row>
    <row r="44" spans="12:16">
      <c r="L44" s="8"/>
      <c r="M44" s="8"/>
      <c r="O44" s="41"/>
      <c r="P44" s="41"/>
    </row>
    <row r="45" spans="12:16">
      <c r="L45" s="8">
        <v>3203.52</v>
      </c>
      <c r="M45" s="173">
        <v>4.43</v>
      </c>
      <c r="O45" s="16">
        <v>1573.6</v>
      </c>
      <c r="P45" s="52">
        <v>3</v>
      </c>
    </row>
    <row r="46" spans="12:16">
      <c r="L46" s="8">
        <v>3309.26</v>
      </c>
      <c r="M46" s="175"/>
      <c r="O46" s="21">
        <v>1693</v>
      </c>
      <c r="P46" s="52"/>
    </row>
    <row r="47" spans="12:16">
      <c r="L47" s="8"/>
      <c r="M47" s="8"/>
      <c r="O47" s="41"/>
      <c r="P47" s="41"/>
    </row>
    <row r="48" spans="12:16">
      <c r="L48" s="42">
        <v>7642.97</v>
      </c>
      <c r="M48" s="173">
        <v>2.11</v>
      </c>
      <c r="O48" s="16">
        <v>21816.3</v>
      </c>
      <c r="P48" s="52">
        <v>5.8</v>
      </c>
    </row>
    <row r="49" spans="12:16">
      <c r="L49" s="8">
        <v>7693.7</v>
      </c>
      <c r="M49" s="175"/>
      <c r="O49" s="21">
        <v>22044.799999999999</v>
      </c>
      <c r="P49" s="52"/>
    </row>
  </sheetData>
  <mergeCells count="89">
    <mergeCell ref="M42:M43"/>
    <mergeCell ref="M45:M46"/>
    <mergeCell ref="M48:M49"/>
    <mergeCell ref="P42:P43"/>
    <mergeCell ref="P45:P46"/>
    <mergeCell ref="P48:P49"/>
    <mergeCell ref="O28:O30"/>
    <mergeCell ref="P28:P30"/>
    <mergeCell ref="A23:A25"/>
    <mergeCell ref="B23:B25"/>
    <mergeCell ref="C23:C25"/>
    <mergeCell ref="M23:M25"/>
    <mergeCell ref="N23:N25"/>
    <mergeCell ref="O23:O25"/>
    <mergeCell ref="A15:A18"/>
    <mergeCell ref="G28:G30"/>
    <mergeCell ref="E27:F30"/>
    <mergeCell ref="B28:C30"/>
    <mergeCell ref="E15:E25"/>
    <mergeCell ref="F23:F25"/>
    <mergeCell ref="G23:G25"/>
    <mergeCell ref="F18:L18"/>
    <mergeCell ref="A19:A22"/>
    <mergeCell ref="B19:B22"/>
    <mergeCell ref="F22:L22"/>
    <mergeCell ref="C19:C22"/>
    <mergeCell ref="C15:C18"/>
    <mergeCell ref="F19:F21"/>
    <mergeCell ref="G19:G21"/>
    <mergeCell ref="F15:F17"/>
    <mergeCell ref="O15:O18"/>
    <mergeCell ref="O19:O22"/>
    <mergeCell ref="N19:N22"/>
    <mergeCell ref="M19:M22"/>
    <mergeCell ref="O3:O6"/>
    <mergeCell ref="O7:O10"/>
    <mergeCell ref="O11:O13"/>
    <mergeCell ref="M3:M6"/>
    <mergeCell ref="N3:N6"/>
    <mergeCell ref="N7:N10"/>
    <mergeCell ref="M15:M18"/>
    <mergeCell ref="N15:N18"/>
    <mergeCell ref="M11:M13"/>
    <mergeCell ref="N11:N13"/>
    <mergeCell ref="G15:G17"/>
    <mergeCell ref="B7:B10"/>
    <mergeCell ref="B11:B13"/>
    <mergeCell ref="B15:B18"/>
    <mergeCell ref="F7:F9"/>
    <mergeCell ref="G7:G9"/>
    <mergeCell ref="C11:C13"/>
    <mergeCell ref="F10:L10"/>
    <mergeCell ref="A3:A6"/>
    <mergeCell ref="A7:A10"/>
    <mergeCell ref="C7:C10"/>
    <mergeCell ref="E3:E13"/>
    <mergeCell ref="R3:R5"/>
    <mergeCell ref="R11:R13"/>
    <mergeCell ref="M7:M10"/>
    <mergeCell ref="A11:A13"/>
    <mergeCell ref="B3:B6"/>
    <mergeCell ref="F11:F13"/>
    <mergeCell ref="G11:G13"/>
    <mergeCell ref="F3:F5"/>
    <mergeCell ref="G3:G5"/>
    <mergeCell ref="F6:L6"/>
    <mergeCell ref="C3:C6"/>
    <mergeCell ref="U3:U5"/>
    <mergeCell ref="R7:R9"/>
    <mergeCell ref="S7:S9"/>
    <mergeCell ref="U7:U9"/>
    <mergeCell ref="T3:T5"/>
    <mergeCell ref="T7:T9"/>
    <mergeCell ref="S3:S5"/>
    <mergeCell ref="U11:U13"/>
    <mergeCell ref="R15:R17"/>
    <mergeCell ref="S15:S17"/>
    <mergeCell ref="U15:U17"/>
    <mergeCell ref="T11:T13"/>
    <mergeCell ref="T15:T17"/>
    <mergeCell ref="S11:S13"/>
    <mergeCell ref="R19:R21"/>
    <mergeCell ref="S19:S21"/>
    <mergeCell ref="U19:U21"/>
    <mergeCell ref="R23:R25"/>
    <mergeCell ref="S23:S25"/>
    <mergeCell ref="U23:U25"/>
    <mergeCell ref="T19:T21"/>
    <mergeCell ref="T23:T25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4</vt:i4>
      </vt:variant>
    </vt:vector>
  </HeadingPairs>
  <TitlesOfParts>
    <vt:vector size="13" baseType="lpstr">
      <vt:lpstr>동주(보수o)</vt:lpstr>
      <vt:lpstr>동주(보수x)</vt:lpstr>
      <vt:lpstr>신성(보수o)</vt:lpstr>
      <vt:lpstr>신성 (보수x)</vt:lpstr>
      <vt:lpstr>폐수일지(사용x)</vt:lpstr>
      <vt:lpstr>동주</vt:lpstr>
      <vt:lpstr>신성</vt:lpstr>
      <vt:lpstr>Sheet1</vt:lpstr>
      <vt:lpstr>동주,신성</vt:lpstr>
      <vt:lpstr>'동주(보수o)'!Print_Area</vt:lpstr>
      <vt:lpstr>'동주(보수x)'!Print_Area</vt:lpstr>
      <vt:lpstr>'신성 (보수x)'!Print_Area</vt:lpstr>
      <vt:lpstr>'신성(보수o)'!Print_Area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11903</dc:creator>
  <cp:lastModifiedBy>11903</cp:lastModifiedBy>
  <cp:lastPrinted>2026-02-03T00:16:07Z</cp:lastPrinted>
  <dcterms:created xsi:type="dcterms:W3CDTF">2025-06-13T00:45:35Z</dcterms:created>
  <dcterms:modified xsi:type="dcterms:W3CDTF">2026-03-16T13:22:43Z</dcterms:modified>
</cp:coreProperties>
</file>